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Feature Comparison" sheetId="2" state="visible" r:id="rId4"/>
    <sheet name="Super Admin Detail" sheetId="3" state="visible" r:id="rId5"/>
    <sheet name="Build Gaps" sheetId="4" state="visible" r:id="rId6"/>
  </sheets>
  <definedNames>
    <definedName function="false" hidden="true" localSheetId="3" name="_xlnm._FilterDatabase" vbProcedure="false">'Build Gaps'!$A$2:$D$23</definedName>
    <definedName function="false" hidden="true" localSheetId="1" name="_xlnm._FilterDatabase" vbProcedure="false">'Feature Comparison'!$A$2:$G$136</definedName>
    <definedName function="false" hidden="true" localSheetId="2" name="_xlnm._FilterDatabase" vbProcedure="false">'Super Admin Detail'!$A$2:$F$17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<sst xmlns="http://schemas.openxmlformats.org/spreadsheetml/2006/main" count="1160" uniqueCount="592">
  <si>
    <t xml:space="preserve">Task Pulse vs StaffiQ — Feature Parity Audit</t>
  </si>
  <si>
    <t xml:space="preserve">Code verified 23 July 2026. Read from actual source, not from docs or assumptions.</t>
  </si>
  <si>
    <t xml:space="preserve">How to read this workbook</t>
  </si>
  <si>
    <t xml:space="preserve">Feature Comparison</t>
  </si>
  <si>
    <t xml:space="preserve">Every feature at capability level, one row each, with a plain verdict: exclusive to one app, in both, or a recommendation to port it across.</t>
  </si>
  <si>
    <t xml:space="preserve">Super Admin Detail</t>
  </si>
  <si>
    <t xml:space="preserve">The Super Admin / Platform Owner console specifically, tab by tab, side by side, since this was flagged as a priority area.</t>
  </si>
  <si>
    <t xml:space="preserve">Build Gaps</t>
  </si>
  <si>
    <t xml:space="preserve">What is left unfinished, disconnected, or stubbed in each app right now, found by reading the code, not by assumption. This feeds directly into what still needs to be done.</t>
  </si>
  <si>
    <t xml:space="preserve">Headline numbers</t>
  </si>
  <si>
    <t xml:space="preserve">Task Pulse features catalogued</t>
  </si>
  <si>
    <t xml:space="preserve">StaffiQ features catalogued</t>
  </si>
  <si>
    <t xml:space="preserve">Exclusive to Task Pulse</t>
  </si>
  <si>
    <t xml:space="preserve">Exclusive to StaffiQ</t>
  </si>
  <si>
    <t xml:space="preserve">Built in both apps</t>
  </si>
  <si>
    <t xml:space="preserve">Recommended: port Task Pulse feature into StaffiQ</t>
  </si>
  <si>
    <t xml:space="preserve">Recommended: port StaffiQ feature into Task Pulse</t>
  </si>
  <si>
    <t xml:space="preserve">Build gap items logged (both apps)</t>
  </si>
  <si>
    <t xml:space="preserve">High severity build gaps</t>
  </si>
  <si>
    <t xml:space="preserve">Five things worth reading first</t>
  </si>
  <si>
    <t xml:space="preserve">1. Mr Ayo's Learning Centre companion is fully built and completely disconnected in Task Pulse</t>
  </si>
  <si>
    <t xml:space="preserve">Over 2,300 lines across mr-ayo.ts, gamification-engine.ts, badge-definitions.ts, the 42 badge catalogue, and two ready UI popups. Zero pages import any of it. Nobody has ever seen this feature run.</t>
  </si>
  <si>
    <t xml:space="preserve">2. Task Pulse currently sends no email at all</t>
  </si>
  <si>
    <t xml:space="preserve">A complete SendGrid/Postmark email service with 15 templates and a queue exists in functions/src/email/emailService.ts. Nothing in the deployed Cloud Functions ever calls it. Every notification today is in app only.</t>
  </si>
  <si>
    <t xml:space="preserve">3. Task Pulse's billing backend is complete; nothing in the app can reach it</t>
  </si>
  <si>
    <t xml:space="preserve">Paystack, Flutterwave and Stripe are wired end to end on the server. No screen in the product calls the checkout API. New tenants are onboarded by manual Super Admin review only, not self serve payment.</t>
  </si>
  <si>
    <t xml:space="preserve">4. StaffiQ's three Super Admin panel files are empty decoys</t>
  </si>
  <si>
    <t xml:space="preserve">BrandingControl.tsx, TokenStudio.tsx and TesterAccountControl.tsx are each 14 lines of placeholder. The real, working versions of all three are buried inside one 22,000 line App.tsx file instead.</t>
  </si>
  <si>
    <t xml:space="preserve">5. Neither app has a real manager or reporting hierarchy yet</t>
  </si>
  <si>
    <t xml:space="preserve">Task Pulse has Supervisor as a role but only checks direct reports, one level deep. StaffiQ has no hierarchy field at all beyond a decorative, unused supervisorId import column. Both need this fixed before any 'my manager can see my team' feature, including the AI access control you asked for.</t>
  </si>
  <si>
    <t xml:space="preserve">Feature by feature comparison, Task Pulse vs StaffiQ — 23 July 2026, code verified</t>
  </si>
  <si>
    <t xml:space="preserve">Category</t>
  </si>
  <si>
    <t xml:space="preserve">Feature</t>
  </si>
  <si>
    <t xml:space="preserve">Description</t>
  </si>
  <si>
    <t xml:space="preserve">Task Pulse</t>
  </si>
  <si>
    <t xml:space="preserve">StaffiQ</t>
  </si>
  <si>
    <t xml:space="preserve">Verdict</t>
  </si>
  <si>
    <t xml:space="preserve">Why</t>
  </si>
  <si>
    <t xml:space="preserve">Task Management</t>
  </si>
  <si>
    <t xml:space="preserve">Weekly task lifecycle</t>
  </si>
  <si>
    <t xml:space="preserve">Create, claim, in progress, claimed complete, validated or rejected state machine.</t>
  </si>
  <si>
    <t xml:space="preserve">Live</t>
  </si>
  <si>
    <t xml:space="preserve">Not present</t>
  </si>
  <si>
    <t xml:space="preserve">StaffiQ has no task tracking concept, it is an assessment and training platform.</t>
  </si>
  <si>
    <t xml:space="preserve">SMART task validation</t>
  </si>
  <si>
    <t xml:space="preserve">Every task must pass Specific, Measurable, Achievable, Relevant, Timebound checks before saving.</t>
  </si>
  <si>
    <t xml:space="preserve">Core to Task Pulse's purpose, not applicable to StaffiQ's assessment workflow.</t>
  </si>
  <si>
    <t xml:space="preserve">Task carry over / week rollover</t>
  </si>
  <si>
    <t xml:space="preserve">Detects tasks that should roll from a prior review week into the current one.</t>
  </si>
  <si>
    <t xml:space="preserve">Weekly cycle concept unique to Task Pulse.</t>
  </si>
  <si>
    <t xml:space="preserve">Task rejection and reassignment</t>
  </si>
  <si>
    <t xml:space="preserve">Owner can reject an open task with a reason, goes to Pending Reassignment.</t>
  </si>
  <si>
    <t xml:space="preserve">No equivalent object to reject in StaffiQ.</t>
  </si>
  <si>
    <t xml:space="preserve">Return for rework</t>
  </si>
  <si>
    <t xml:space="preserve">Verifier can return a claimed complete task with a structured reason.</t>
  </si>
  <si>
    <t xml:space="preserve">Direct task workflow concept.</t>
  </si>
  <si>
    <t xml:space="preserve">Claim task / admin auto claim override</t>
  </si>
  <si>
    <t xml:space="preserve">Owner accepts assigned work, Admin can force assign on their behalf.</t>
  </si>
  <si>
    <t xml:space="preserve">No equivalent in StaffiQ.</t>
  </si>
  <si>
    <t xml:space="preserve">Recurring tasks</t>
  </si>
  <si>
    <t xml:space="preserve">Recurrence rule parser generates next task instances automatically.</t>
  </si>
  <si>
    <t xml:space="preserve">In Task Pulse, recommend for StaffiQ</t>
  </si>
  <si>
    <t xml:space="preserve">StaffiQ could reuse this exact pattern for recurring refresher assessments or annual re-certification, which its own roadmap catalogue already lists as an idea.</t>
  </si>
  <si>
    <t xml:space="preserve">FYI / secondary stakeholders</t>
  </si>
  <si>
    <t xml:space="preserve">Add non owner FYI people to a task who can view but not action it.</t>
  </si>
  <si>
    <t xml:space="preserve">Task specific concept.</t>
  </si>
  <si>
    <t xml:space="preserve">Share task</t>
  </si>
  <si>
    <t xml:space="preserve">Generates a shareable reference for one task.</t>
  </si>
  <si>
    <t xml:space="preserve">Bulk task actions</t>
  </si>
  <si>
    <t xml:space="preserve">Multi select reassign, move week, set status, claim, from the task list.</t>
  </si>
  <si>
    <t xml:space="preserve">Duplicate detection and resolution</t>
  </si>
  <si>
    <t xml:space="preserve">Flags likely duplicate tasks and gives a side by side review flow.</t>
  </si>
  <si>
    <t xml:space="preserve">Task Quality Coach</t>
  </si>
  <si>
    <t xml:space="preserve">Inline tips while drafting a task, title and description nudges.</t>
  </si>
  <si>
    <t xml:space="preserve">The same coaching pattern would help admins write better assessment or course descriptions in StaffiQ.</t>
  </si>
  <si>
    <t xml:space="preserve">Confidential tasks and named visibility exceptions</t>
  </si>
  <si>
    <t xml:space="preserve">Restricts specific tasks beyond normal role rules, with named exception rules.</t>
  </si>
  <si>
    <t xml:space="preserve">Bespoke to Task Pulse's org, not a general pattern to copy as is.</t>
  </si>
  <si>
    <t xml:space="preserve">Trash / soft delete and restore</t>
  </si>
  <si>
    <t xml:space="preserve">Deleted tasks land in Trash, Admin can restore or purge.</t>
  </si>
  <si>
    <t xml:space="preserve">In both</t>
  </si>
  <si>
    <t xml:space="preserve">StaffiQ has an equivalent Trash tab inside Reports for audit and analytics records.</t>
  </si>
  <si>
    <t xml:space="preserve">Task Forge (AI batch drafting)</t>
  </si>
  <si>
    <t xml:space="preserve">Drafts multiple SMART tasks from a free text brief, human approves before creation.</t>
  </si>
  <si>
    <t xml:space="preserve">Direct equivalent of StaffiQ's Smart Task Decomposition, see AI section, not duplicated here.</t>
  </si>
  <si>
    <t xml:space="preserve">Task templates</t>
  </si>
  <si>
    <t xml:space="preserve">Reusable task definitions for recurring responsibilities.</t>
  </si>
  <si>
    <t xml:space="preserve">StaffiQ could use the same pattern for reusable course or assessment templates.</t>
  </si>
  <si>
    <t xml:space="preserve">Effectiveness scoring</t>
  </si>
  <si>
    <t xml:space="preserve">Weekly per user score from validation rate, on time rate and SMART quality.</t>
  </si>
  <si>
    <t xml:space="preserve">Task specific scoring model.</t>
  </si>
  <si>
    <t xml:space="preserve">Projects (task grouping)</t>
  </si>
  <si>
    <t xml:space="preserve">Groups tasks under a project mark, moving a project shifts every member task together.</t>
  </si>
  <si>
    <t xml:space="preserve">No project concept in StaffiQ today.</t>
  </si>
  <si>
    <t xml:space="preserve">Dashboard widgets and custom layout</t>
  </si>
  <si>
    <t xml:space="preserve">Drag, pin, resize dashboard widgets with saved revisions and undo or redo.</t>
  </si>
  <si>
    <t xml:space="preserve">StaffiQ's Dashboard has its own drag and drop widget customisation with an undo or redo stack, built independently, same idea.</t>
  </si>
  <si>
    <t xml:space="preserve">Learning &amp; Training</t>
  </si>
  <si>
    <t xml:space="preserve">Structured onboarding lessons</t>
  </si>
  <si>
    <t xml:space="preserve">Grouped step by step lessons from first login to confident daily use.</t>
  </si>
  <si>
    <t xml:space="preserve">StaffiQ has a Help Center and FAQ but no structured, ordered onboarding path the way Task Pulse's Learning Center has.</t>
  </si>
  <si>
    <t xml:space="preserve">Quiz engine with weak topic detection</t>
  </si>
  <si>
    <t xml:space="preserve">Question bank driven quizzes, graded, flags a learner's weak topics.</t>
  </si>
  <si>
    <t xml:space="preserve">StaffiQ's Test Delivery engine is considerably more advanced here: per question timers, partial credit, hints, shuffled options and adaptive mastery pools. Task Pulse's is a simpler onboarding quiz. Recommend Task Pulse borrow StaffiQ's mastery pool idea for its own knowledge checks.</t>
  </si>
  <si>
    <t xml:space="preserve">Contextual page tips</t>
  </si>
  <si>
    <t xml:space="preserve">Idle triggered and per page tip popovers with snooze options.</t>
  </si>
  <si>
    <t xml:space="preserve">StaffiQ calls its version Chats, a hover, focus and touch triggered tooltip engine with the same snooze pattern. Independently built, same concept.</t>
  </si>
  <si>
    <t xml:space="preserve">Feature release learning modules</t>
  </si>
  <si>
    <t xml:space="preserve">Versioned in app tutorials tied to specific shipped features.</t>
  </si>
  <si>
    <t xml:space="preserve">Would help StaffiQ users learn new features as they ship, same benefit Task Pulse already gets.</t>
  </si>
  <si>
    <t xml:space="preserve">Course / content catalogue with many content types</t>
  </si>
  <si>
    <t xml:space="preserve">Text, video, audio, interactive, SCORM, VR and other content formats for training.</t>
  </si>
  <si>
    <t xml:space="preserve">Partial / built not connected</t>
  </si>
  <si>
    <t xml:space="preserve">Roughly 35 of 83 catalogued content types are actually ready, the rest are on the roadmap. Still far beyond anything in Task Pulse.</t>
  </si>
  <si>
    <t xml:space="preserve">Digital flashcards</t>
  </si>
  <si>
    <t xml:space="preserve">Spaced repetition flashcard decks generated from a linked question bank.</t>
  </si>
  <si>
    <t xml:space="preserve">Assessment specific learning tool.</t>
  </si>
  <si>
    <t xml:space="preserve">Course deployment targeting</t>
  </si>
  <si>
    <t xml:space="preserve">Admin controls exactly which employees can see which course, independent of role.</t>
  </si>
  <si>
    <t xml:space="preserve">Training specific concept.</t>
  </si>
  <si>
    <t xml:space="preserve">Certificate readiness indicator</t>
  </si>
  <si>
    <t xml:space="preserve">Pass or mastery based readiness signal shown on results.</t>
  </si>
  <si>
    <t xml:space="preserve">Not confirmed to generate an actual downloadable certificate yet, worth checking with Ayodeji directly.</t>
  </si>
  <si>
    <t xml:space="preserve">AI Platform</t>
  </si>
  <si>
    <t xml:space="preserve">Multi provider fallback chain</t>
  </si>
  <si>
    <t xml:space="preserve">Tries one AI provider then the next automatically if one fails or times out.</t>
  </si>
  <si>
    <t xml:space="preserve">StaffiQ's AI features call a single provider per feature with no automatic fallback chain documented in the scan. Task Pulse's DeepSeek to Perplexity to OpenAI to Anthropic chain is a real reliability advantage worth copying.</t>
  </si>
  <si>
    <t xml:space="preserve">AI access control gate (plan, tenant, user, quota)</t>
  </si>
  <si>
    <t xml:space="preserve">Central checkpoint before any AI call: Super Admin bypass, tenant toggle, plan gate, per user override, monthly quota.</t>
  </si>
  <si>
    <t xml:space="preserve">Independently built in both apps, near identical decision flow. Good sign both teams converged on the same design.</t>
  </si>
  <si>
    <t xml:space="preserve">Tiered AI answer guard (role aware refusal)</t>
  </si>
  <si>
    <t xml:space="preserve">A question about a capability above the caller's tier gets one neutral refusal line, never a hint a higher tier has it.</t>
  </si>
  <si>
    <t xml:space="preserve">This is the exact mechanism Ayodeji asked to extend into a full hierarchy. StaffiQ has nothing like it yet and needs it built from the ground up, see Build Gaps.</t>
  </si>
  <si>
    <t xml:space="preserve">SMART Suggestion / Smart Task Decomposition</t>
  </si>
  <si>
    <t xml:space="preserve">AI drafts structured task or work items from a short plain language brief.</t>
  </si>
  <si>
    <t xml:space="preserve">Task Pulse calls it SMART Suggestion, StaffiQ calls it Smart Task Decomposition, same underlying idea, independently built.</t>
  </si>
  <si>
    <t xml:space="preserve">Dashboard Insights / Executive Brief</t>
  </si>
  <si>
    <t xml:space="preserve">AI generated narrative summary of what is happening across the organisation.</t>
  </si>
  <si>
    <t xml:space="preserve">StaffiQ's Executive Brief is presently a statistical template engine, not a live model call, per its own code comment. Task Pulse's Dashboard Insights is a live model call. Worth aligning which one actually calls a live provider.</t>
  </si>
  <si>
    <t xml:space="preserve">Contextual Help Assistant</t>
  </si>
  <si>
    <t xml:space="preserve">In app AI chat for user self service questions.</t>
  </si>
  <si>
    <t xml:space="preserve">Independently built in both apps under different names, AI Help Assistant in StaffiQ.</t>
  </si>
  <si>
    <t xml:space="preserve">Admin analytics AI chat</t>
  </si>
  <si>
    <t xml:space="preserve">Admin only natural language question and answer over usage, learning, or task data.</t>
  </si>
  <si>
    <t xml:space="preserve">Both apps have this, embedded directly in their respective Analytics screens.</t>
  </si>
  <si>
    <t xml:space="preserve">AI Skill Gap Insights</t>
  </si>
  <si>
    <t xml:space="preserve">Detects per person or department skill gaps by topic and severity from real assessment data.</t>
  </si>
  <si>
    <t xml:space="preserve">Depends on assessment score data that only exists in StaffiQ.</t>
  </si>
  <si>
    <t xml:space="preserve">Risk Priority Ranking</t>
  </si>
  <si>
    <t xml:space="preserve">Ranks people by intervention urgency from recent scores and failure patterns.</t>
  </si>
  <si>
    <t xml:space="preserve">In StaffiQ, recommend for Task Pulse</t>
  </si>
  <si>
    <t xml:space="preserve">Task Pulse already tracks effectiveness scores and could rank people by risk of missing weekly targets the same way.</t>
  </si>
  <si>
    <t xml:space="preserve">Meeting Forge (Fireflies transcript to task drafts)</t>
  </si>
  <si>
    <t xml:space="preserve">Searches meeting transcripts, extracts action notes, feeds them into task drafting.</t>
  </si>
  <si>
    <t xml:space="preserve">Tied to Task Pulse's meeting and task workflow specifically.</t>
  </si>
  <si>
    <t xml:space="preserve">Codex Repair prompt generation</t>
  </si>
  <si>
    <t xml:space="preserve">Generates a structured AI bug investigation prompt from an approved bug report.</t>
  </si>
  <si>
    <t xml:space="preserve">Task Pulse's own Bug Reports Gateway approval workflow could use the same auto generated repair prompt step StaffiQ already has.</t>
  </si>
  <si>
    <t xml:space="preserve">AI Context documents</t>
  </si>
  <si>
    <t xml:space="preserve">Admin managed markdown documents that ground AI drafting and insights.</t>
  </si>
  <si>
    <t xml:space="preserve">Would let StaffiQ admins ground its AI features in company specific policy text the same way.</t>
  </si>
  <si>
    <t xml:space="preserve">AI usage logging and monthly aggregation</t>
  </si>
  <si>
    <t xml:space="preserve">Logs every AI call, tracks quota, rolls up into summaries.</t>
  </si>
  <si>
    <t xml:space="preserve">Task Pulse's aggregation functions exist in code but are never scheduled to run, so its own AI Usage dashboard rollups never populate. StaffiQ's equivalent is live. Fix Task Pulse's first, then no copying needed, it already has the code.</t>
  </si>
  <si>
    <t xml:space="preserve">Admin &amp; Super Admin</t>
  </si>
  <si>
    <t xml:space="preserve">Settings hub (users, roles, branding, permissions, holidays)</t>
  </si>
  <si>
    <t xml:space="preserve">Single hub covering the full range of tenant administration.</t>
  </si>
  <si>
    <t xml:space="preserve">Task Pulse's is a dedicated 2,300 line settings page. StaffiQ's equivalent controls live inside its SettingsPanel component within the large App.tsx file.</t>
  </si>
  <si>
    <t xml:space="preserve">Permissions matrix (per user overrides)</t>
  </si>
  <si>
    <t xml:space="preserve">Fine grained per user permission flags layered on top of role defaults.</t>
  </si>
  <si>
    <t xml:space="preserve">Task Pulse has an open ended permission override system, StaffiQ has exactly 10 named permission flags. Worth comparing the two flag sets directly with Ayodeji.</t>
  </si>
  <si>
    <t xml:space="preserve">Branding controls (logo, colour)</t>
  </si>
  <si>
    <t xml:space="preserve">Tenant logo and colour customisation.</t>
  </si>
  <si>
    <t xml:space="preserve">StaffiQ's real branding UI lives inside App.tsx, not in its dedicated superadmin/components/BrandingControl.tsx file, which is an empty stub, see Build Gaps.</t>
  </si>
  <si>
    <t xml:space="preserve">Appearance / UI skin switching</t>
  </si>
  <si>
    <t xml:space="preserve">Choose between multiple visual themes and light or dark mode for the whole tenant.</t>
  </si>
  <si>
    <t xml:space="preserve">Task Pulse offers three selectable UI skins plus dark mode. StaffiQ has no equivalent theme switcher found.</t>
  </si>
  <si>
    <t xml:space="preserve">Review Access links (time limited reviewer sessions)</t>
  </si>
  <si>
    <t xml:space="preserve">Generates signed, time limited links that log a reviewer in without a normal account.</t>
  </si>
  <si>
    <t xml:space="preserve">Useful for StaffiQ too, for example letting an external auditor review assessment results for a fixed window without a full account.</t>
  </si>
  <si>
    <t xml:space="preserve">Data portability (export and import)</t>
  </si>
  <si>
    <t xml:space="preserve">Export a tenant's full data as JSON, preview and commit a typed confirmation import.</t>
  </si>
  <si>
    <t xml:space="preserve">StaffiQ's Export Center covers results workbook export and full JSON backup and restore, same category of capability, independently built.</t>
  </si>
  <si>
    <t xml:space="preserve">Company Policy / SOP library</t>
  </si>
  <si>
    <t xml:space="preserve">Admin document area for internal policy and procedure text.</t>
  </si>
  <si>
    <t xml:space="preserve">Planned only</t>
  </si>
  <si>
    <t xml:space="preserve">In both, low priority to keep aligned</t>
  </si>
  <si>
    <t xml:space="preserve">Task Pulse's own version is an empty placeholder shell today, not a real document library yet, see Build Gaps. Not worth porting until it is actually built.</t>
  </si>
  <si>
    <t xml:space="preserve">Storage architecture audit</t>
  </si>
  <si>
    <t xml:space="preserve">Self diagnostic comparing live Firestore collections against expected structure and migration risk.</t>
  </si>
  <si>
    <t xml:space="preserve">Tied to Task Pulse's specific migration history from Google Sheets to Firestore.</t>
  </si>
  <si>
    <t xml:space="preserve">Feature Inventory self scan</t>
  </si>
  <si>
    <t xml:space="preserve">The app catalogues its own detected features into versioned, exportable snapshots.</t>
  </si>
  <si>
    <t xml:space="preserve">StaffiQ's version additionally runs a scheduled daily automatic re scan, which Task Pulse's does not appear to do on the same cadence, worth checking.</t>
  </si>
  <si>
    <t xml:space="preserve">Bug Reports Gateway / repair approval workflow</t>
  </si>
  <si>
    <t xml:space="preserve">Multi stage approval before any bug investigation or repair work begins.</t>
  </si>
  <si>
    <t xml:space="preserve">StaffiQ's version has a considerably richer 18 state lifecycle plus duplicate detection and quality scoring. Recommend Task Pulse review StaffiQ's state list as a model to expand its own.</t>
  </si>
  <si>
    <t xml:space="preserve">Command Center / unified notifications ledger</t>
  </si>
  <si>
    <t xml:space="preserve">One merged view of audit trail, analytics and problem reports across every user.</t>
  </si>
  <si>
    <t xml:space="preserve">Task Pulse's Notifications page is task alert focused only, it has nothing that merges audit, analytics and bug reports the way StaffiQ's Command Center does.</t>
  </si>
  <si>
    <t xml:space="preserve">Roadmap / upgrade recommendation console</t>
  </si>
  <si>
    <t xml:space="preserve">Browsable catalogue of recommended future features tagged by real build status.</t>
  </si>
  <si>
    <t xml:space="preserve">A genuinely good idea, Task Pulse has no equivalent place to see its own future roadmap inside the product itself.</t>
  </si>
  <si>
    <t xml:space="preserve">Delegated capability grants (billing_admin, support, finance)</t>
  </si>
  <si>
    <t xml:space="preserve">Owner grants narrow admin capabilities to trusted staff without making them full Super Admin.</t>
  </si>
  <si>
    <t xml:space="preserve">Directly relevant to the workspace support access redesign Ayodeji asked about, this is close to the pattern needed, but scoped to billing today, not general workspace admin rights.</t>
  </si>
  <si>
    <t xml:space="preserve">Multi Tenancy</t>
  </si>
  <si>
    <t xml:space="preserve">Tenant lifecycle state machine</t>
  </si>
  <si>
    <t xml:space="preserve">draft, trialing, active, past due, grace, suspended, cancelled, archived.</t>
  </si>
  <si>
    <t xml:space="preserve">Independently built, materially the same state list in both apps.</t>
  </si>
  <si>
    <t xml:space="preserve">Cross tenant membership rules</t>
  </si>
  <si>
    <t xml:space="preserve">Normal user in exactly one workspace, Admin in up to two, named accounts locked to one.</t>
  </si>
  <si>
    <t xml:space="preserve">StaffiQ's tenancy model is single workspace per login session, no equivalent multi membership rule found.</t>
  </si>
  <si>
    <t xml:space="preserve">Move or copy user between tenants</t>
  </si>
  <si>
    <t xml:space="preserve">Server enforced, audited transfer of a person's membership from one workspace to another.</t>
  </si>
  <si>
    <t xml:space="preserve">Directly relevant groundwork for the Super Admin workspace support access redesign, see that section.</t>
  </si>
  <si>
    <t xml:space="preserve">Portal code / clean slug URL resolution</t>
  </si>
  <si>
    <t xml:space="preserve">A short branded URL resolves to a pre filled, locked login for that tenant.</t>
  </si>
  <si>
    <t xml:space="preserve">StaffiQ's workspace switcher uses a workspace code entered on the login form, a URL based version would be a smoother client experience, same as Task Pulse.</t>
  </si>
  <si>
    <t xml:space="preserve">Trial request workflow</t>
  </si>
  <si>
    <t xml:space="preserve">Public signup submits a trial request, Super Admin approves or declines.</t>
  </si>
  <si>
    <t xml:space="preserve">No public trial signup flow found in StaffiQ's scan, worth confirming directly with Ayodeji since a pricing page and billing system already exist there.</t>
  </si>
  <si>
    <t xml:space="preserve">Tenant scoped local cache isolation</t>
  </si>
  <si>
    <t xml:space="preserve">Local browser storage is namespaced per tenant so switching workspace cannot leak stale data.</t>
  </si>
  <si>
    <t xml:space="preserve">A real, specific security hardening idea Task Pulse should adopt if it stores anything in localStorage or sessionStorage per tenant.</t>
  </si>
  <si>
    <t xml:space="preserve">Workspace switcher</t>
  </si>
  <si>
    <t xml:space="preserve">Switch the active tenant, resolve workspace from URL, path, or stored session.</t>
  </si>
  <si>
    <t xml:space="preserve">Independently built, similar mechanism.</t>
  </si>
  <si>
    <t xml:space="preserve">Billing &amp; Plans</t>
  </si>
  <si>
    <t xml:space="preserve">Plan config as single source of truth</t>
  </si>
  <si>
    <t xml:space="preserve">One collection defines every feature per plan tier, used identically by every gate.</t>
  </si>
  <si>
    <t xml:space="preserve">Both apps converged on the same architecture independently, a good sign.</t>
  </si>
  <si>
    <t xml:space="preserve">Payment provider abstraction (Paystack, Flutterwave, Stripe)</t>
  </si>
  <si>
    <t xml:space="preserve">Common interface across multiple African and international payment providers.</t>
  </si>
  <si>
    <t xml:space="preserve">StaffiQ's Flutterwave support is only partially built, recurring charge and refund both throw not implemented errors, see Build Gaps. Task Pulse's provider completeness was not separately confirmed in this pass and should be checked before assuming it is further ahead.</t>
  </si>
  <si>
    <t xml:space="preserve">Subscription state machine</t>
  </si>
  <si>
    <t xml:space="preserve">Validated transitions across draft, incomplete, trialing, active, past due and more.</t>
  </si>
  <si>
    <t xml:space="preserve">Independently built.</t>
  </si>
  <si>
    <t xml:space="preserve">Proration engine</t>
  </si>
  <si>
    <t xml:space="preserve">Day level proration for plan, seat, or interval changes.</t>
  </si>
  <si>
    <t xml:space="preserve">Both include several worked examples encoded directly as test data, a good practice worth keeping in both.</t>
  </si>
  <si>
    <t xml:space="preserve">Entitlement resolution service</t>
  </si>
  <si>
    <t xml:space="preserve">Server side feature gate combining tenant status, plan and admin overrides.</t>
  </si>
  <si>
    <t xml:space="preserve">Checkout, upgrade, downgrade and cancel UI</t>
  </si>
  <si>
    <t xml:space="preserve">Full self serve billing screens: checkout, proration preview, downgrade credit preview, cancel wizard.</t>
  </si>
  <si>
    <t xml:space="preserve">This is the single biggest billing gap: Task Pulse's checkout API and entitlement hook are built server side but no screen in the product calls them. StaffiQ has the complete self serve flow live. Reuse StaffiQ's UI pattern rather than designing a new one.</t>
  </si>
  <si>
    <t xml:space="preserve">Admin Plan Manager (CRUD plan definitions)</t>
  </si>
  <si>
    <t xml:space="preserve">Admin screen to create, edit, archive plan definitions.</t>
  </si>
  <si>
    <t xml:space="preserve">Task Pulse calls this the Plans tab.</t>
  </si>
  <si>
    <t xml:space="preserve">Admin Subscription Manager</t>
  </si>
  <si>
    <t xml:space="preserve">Search all tenant subscriptions, manual state transitions with a mandatory reason note.</t>
  </si>
  <si>
    <t xml:space="preserve">Task Pulse's Super Admin has tenant lifecycle actions in its Cross Tenant Dashboard, but not this specific searchable subscription manager view with mandatory reason notes.</t>
  </si>
  <si>
    <t xml:space="preserve">Webhook Monitor</t>
  </si>
  <si>
    <t xml:space="preserve">Payment webhook event log with filters, raw payload inspection, manual retry.</t>
  </si>
  <si>
    <t xml:space="preserve">A genuinely useful operational tool for diagnosing failed payments, worth copying as is.</t>
  </si>
  <si>
    <t xml:space="preserve">Public pricing page with plan comparison</t>
  </si>
  <si>
    <t xml:space="preserve">Public facing pricing page with a live cost calculator.</t>
  </si>
  <si>
    <t xml:space="preserve">Independently built on each app's marketing site.</t>
  </si>
  <si>
    <t xml:space="preserve">Security &amp; Access</t>
  </si>
  <si>
    <t xml:space="preserve">Firebase Auth plus custom tokens</t>
  </si>
  <si>
    <t xml:space="preserve">Login exchanged server side for a Firebase custom token.</t>
  </si>
  <si>
    <t xml:space="preserve">Same underlying platform, independently wired.</t>
  </si>
  <si>
    <t xml:space="preserve">Role Based Access Control enforced server side</t>
  </si>
  <si>
    <t xml:space="preserve">Fixed permission set mapped to roles, enforced on every route via middleware.</t>
  </si>
  <si>
    <t xml:space="preserve">StaffiQ's role set is far smaller, three roles only, versus Task Pulse's four plus the Super Admin identity layer, see the hierarchy gap in Build Gaps.</t>
  </si>
  <si>
    <t xml:space="preserve">Single canonical Platform Owner / Super Admin check</t>
  </si>
  <si>
    <t xml:space="preserve">One function used everywhere instead of scattered inline comparisons.</t>
  </si>
  <si>
    <t xml:space="preserve">Both apps independently arrived at the same good pattern: identity based super admin check, not just a role flag.</t>
  </si>
  <si>
    <t xml:space="preserve">Firestore lockdown, all writes through Cloud Functions</t>
  </si>
  <si>
    <t xml:space="preserve">Direct client reads and writes denied by rule, every access goes through an authenticated function.</t>
  </si>
  <si>
    <t xml:space="preserve">Same architecture.</t>
  </si>
  <si>
    <t xml:space="preserve">Rate limiting at the edge</t>
  </si>
  <si>
    <t xml:space="preserve">Per IP per endpoint request limits.</t>
  </si>
  <si>
    <t xml:space="preserve">Not confirmed</t>
  </si>
  <si>
    <t xml:space="preserve">In Task Pulse, recommend confirming for StaffiQ</t>
  </si>
  <si>
    <t xml:space="preserve">Not confirmed present or absent in the StaffiQ scan, worth a direct check before assuming a gap.</t>
  </si>
  <si>
    <t xml:space="preserve">Diagnostic capture consent before bug report attachment</t>
  </si>
  <si>
    <t xml:space="preserve">Explicit opt in before attaching browser diagnostics to a bug report, passwords and private messages excluded by design.</t>
  </si>
  <si>
    <t xml:space="preserve">A genuinely good privacy practice Task Pulse's own bug report flow should adopt.</t>
  </si>
  <si>
    <t xml:space="preserve">Plaintext password field alongside the hashed one</t>
  </si>
  <si>
    <t xml:space="preserve">A readable PasswordPlain field is stored on every user record next to the correct bcrypt hash.</t>
  </si>
  <si>
    <t xml:space="preserve">Live (flagged as a defect)</t>
  </si>
  <si>
    <t xml:space="preserve">Exclusive to Task Pulse (a defect, not a feature)</t>
  </si>
  <si>
    <t xml:space="preserve">Task Pulse's own architecture document calls this exact pattern a critical defect if found. See Build Gaps, this needs fixing, not copying.</t>
  </si>
  <si>
    <t xml:space="preserve">Reporting &amp; Analytics</t>
  </si>
  <si>
    <t xml:space="preserve">Weekly / period reports with export</t>
  </si>
  <si>
    <t xml:space="preserve">Performance summary with CSV or workbook export.</t>
  </si>
  <si>
    <t xml:space="preserve">Executive dashboard</t>
  </si>
  <si>
    <t xml:space="preserve">Read only leadership summary of key numbers.</t>
  </si>
  <si>
    <t xml:space="preserve">StaffiQ's Analytics screen is rich but built for admins, not a simplified executive only summary view the way Task Pulse's is.</t>
  </si>
  <si>
    <t xml:space="preserve">Team view for direct reports</t>
  </si>
  <si>
    <t xml:space="preserve">Supervisor's view of their direct reports' claims and pending reviews.</t>
  </si>
  <si>
    <t xml:space="preserve">Live (direct reports only, one level)</t>
  </si>
  <si>
    <t xml:space="preserve">Currently limited to one level deep, see the hierarchy gap noted throughout this workbook.</t>
  </si>
  <si>
    <t xml:space="preserve">Usage analytics with adoption charts</t>
  </si>
  <si>
    <t xml:space="preserve">Learning and feature adoption analytics with drill down.</t>
  </si>
  <si>
    <t xml:space="preserve">Independently built, StaffiQ's Analytics screen has notably heavier multi dimension filtering.</t>
  </si>
  <si>
    <t xml:space="preserve">System health diagnostics tab</t>
  </si>
  <si>
    <t xml:space="preserve">Sync health, client diagnostics, failed request counts, duplicate session detection.</t>
  </si>
  <si>
    <t xml:space="preserve">A genuinely useful operational tab Task Pulse does not appear to have an equivalent of.</t>
  </si>
  <si>
    <t xml:space="preserve">Messaging &amp; Notifications</t>
  </si>
  <si>
    <t xml:space="preserve">Task thread comments</t>
  </si>
  <si>
    <t xml:space="preserve">Chat thread attached to each individual task.</t>
  </si>
  <si>
    <t xml:space="preserve">Tied to the task object, which does not exist in StaffiQ.</t>
  </si>
  <si>
    <t xml:space="preserve">Direct messages and group chats</t>
  </si>
  <si>
    <t xml:space="preserve">One to one and ad hoc group messaging between staff.</t>
  </si>
  <si>
    <t xml:space="preserve">StaffiQ has no internal messaging system found at all, only the AI help chat and the Chats tooltip engine, which are not person to person messaging.</t>
  </si>
  <si>
    <t xml:space="preserve">Department / team channels</t>
  </si>
  <si>
    <t xml:space="preserve">One channel per department with default topic threads.</t>
  </si>
  <si>
    <t xml:space="preserve">Same messaging gap as above.</t>
  </si>
  <si>
    <t xml:space="preserve">Notifications centre with archive and bulk resolve</t>
  </si>
  <si>
    <t xml:space="preserve">Task alerts, duplicate flags, recommendations, with bulk handling.</t>
  </si>
  <si>
    <t xml:space="preserve">StaffiQ's closest equivalent, the Command Center, is an admin only audit ledger, not a general per user notification inbox.</t>
  </si>
  <si>
    <t xml:space="preserve">Email notifications</t>
  </si>
  <si>
    <t xml:space="preserve">Automated email for key events (task assigned, overdue, digest, etc).</t>
  </si>
  <si>
    <t xml:space="preserve">Planned only (built, never triggered)</t>
  </si>
  <si>
    <t xml:space="preserve">In both, needs a direct decision from Ayodeji</t>
  </si>
  <si>
    <t xml:space="preserve">Task Pulse's email service is fully coded but never called, see Build Gaps. StaffiQ's email sending was not directly confirmed either way in this pass and should be checked before either app is assumed ahead here.</t>
  </si>
  <si>
    <t xml:space="preserve">Personalization</t>
  </si>
  <si>
    <t xml:space="preserve">Text size control</t>
  </si>
  <si>
    <t xml:space="preserve">User adjustable text scale for accessibility.</t>
  </si>
  <si>
    <t xml:space="preserve">Not confirmed present or absent for StaffiQ in this pass.</t>
  </si>
  <si>
    <t xml:space="preserve">Per user dashboard layout with saved revisions</t>
  </si>
  <si>
    <t xml:space="preserve">Widget order, pin, collapse and size saved per person.</t>
  </si>
  <si>
    <t xml:space="preserve">Independently built, both with undo or redo support.</t>
  </si>
  <si>
    <t xml:space="preserve">Feedback &amp; Bug Tracking</t>
  </si>
  <si>
    <t xml:space="preserve">Bug or feedback submission with diagnostics</t>
  </si>
  <si>
    <t xml:space="preserve">Category, severity, affected area, browser and device diagnostics, attachments.</t>
  </si>
  <si>
    <t xml:space="preserve">StaffiQ's version has a richer, explicitly consent gated diagnostic capture step, see Security &amp; Access.</t>
  </si>
  <si>
    <t xml:space="preserve">Contribution points and badges for approved reports</t>
  </si>
  <si>
    <t xml:space="preserve">Gamified reward system for people who submit useful bug reports.</t>
  </si>
  <si>
    <t xml:space="preserve">Independently built, same incentive idea.</t>
  </si>
  <si>
    <t xml:space="preserve">Multi stage bug lifecycle with Admin approval gate</t>
  </si>
  <si>
    <t xml:space="preserve">Investigation, repair and deployment each require Super Admin or Owner approval before proceeding.</t>
  </si>
  <si>
    <t xml:space="preserve">StaffiQ's 18 state lifecycle is considerably more detailed than Task Pulse's, worth Task Pulse adopting the fuller state list.</t>
  </si>
  <si>
    <t xml:space="preserve">Bug quality scoring and duplicate detection</t>
  </si>
  <si>
    <t xml:space="preserve">Automatically scores report quality and flags likely duplicates before human review.</t>
  </si>
  <si>
    <t xml:space="preserve">Direct opportunity to reduce triage effort in Task Pulse's own Bug Reports Gateway.</t>
  </si>
  <si>
    <t xml:space="preserve">Public holiday calendar</t>
  </si>
  <si>
    <t xml:space="preserve">WAT aware holiday list feeding weekend and holiday skipping date maths.</t>
  </si>
  <si>
    <t xml:space="preserve">Tied to Task Pulse's weekly scheduling model.</t>
  </si>
  <si>
    <t xml:space="preserve">Move forward by working days</t>
  </si>
  <si>
    <t xml:space="preserve">Advances a project's dates past a set number of working days, skipping weekends and holidays.</t>
  </si>
  <si>
    <t xml:space="preserve">Scheduling helper tied to the Projects feature.</t>
  </si>
  <si>
    <t xml:space="preserve">Project AI bulk operations</t>
  </si>
  <si>
    <t xml:space="preserve">AI proposes a batch of SMART tasks or analyses project progress, human approves every write.</t>
  </si>
  <si>
    <t xml:space="preserve">Project specific, no equivalent object in StaffiQ.</t>
  </si>
  <si>
    <t xml:space="preserve">Meeting Forge access restriction</t>
  </si>
  <si>
    <t xml:space="preserve">Restricted to Admin plus one named delegated user, not a general role based rule.</t>
  </si>
  <si>
    <t xml:space="preserve">Access rule specific to the Meeting Forge feature above.</t>
  </si>
  <si>
    <t xml:space="preserve">Task delegation workflow</t>
  </si>
  <si>
    <t xml:space="preserve">One named non admin user can be delegated edit and redelegate rights across tasks, with a review queue for their deletions.</t>
  </si>
  <si>
    <t xml:space="preserve">Bespoke to Task Pulse's current org structure.</t>
  </si>
  <si>
    <t xml:space="preserve">Task health labelling</t>
  </si>
  <si>
    <t xml:space="preserve">Plain English health status per task: Healthy, Overdue, Blocked, Returned, Waiting review.</t>
  </si>
  <si>
    <t xml:space="preserve">StaffiQ could use the same plain language pattern for assessment or course status.</t>
  </si>
  <si>
    <t xml:space="preserve">Directory &amp; Company Info</t>
  </si>
  <si>
    <t xml:space="preserve">Company Directory</t>
  </si>
  <si>
    <t xml:space="preserve">Shared contact book grouped into editable sections.</t>
  </si>
  <si>
    <t xml:space="preserve">A shared staff directory would help any multi branch StaffiQ client, per its own industry pages targeting multi branch businesses.</t>
  </si>
  <si>
    <t xml:space="preserve">Directory edit permissions</t>
  </si>
  <si>
    <t xml:space="preserve">Only specific named users or the Admin role can edit entries or manage sections.</t>
  </si>
  <si>
    <t xml:space="preserve">Tied to the Directory feature above.</t>
  </si>
  <si>
    <t xml:space="preserve">Password strength policy</t>
  </si>
  <si>
    <t xml:space="preserve">Minimum six characters, upper and lower case, a number, enforced at password set time.</t>
  </si>
  <si>
    <t xml:space="preserve">Not confirmed present or absent for StaffiQ in this pass, worth a direct check.</t>
  </si>
  <si>
    <t xml:space="preserve">Avatar upload with lock</t>
  </si>
  <si>
    <t xml:space="preserve">Users manage their own avatar unless the Super Admin locks it.</t>
  </si>
  <si>
    <t xml:space="preserve">Small nice to have, not urgent either way.</t>
  </si>
  <si>
    <t xml:space="preserve">Host canonicalisation</t>
  </si>
  <si>
    <t xml:space="preserve">Raw Firebase hosting domains automatically redirect to the canonical branded domain.</t>
  </si>
  <si>
    <t xml:space="preserve">Prevents confusing duplicate URLs being indexed or shared, worth confirming StaffiQ does the same.</t>
  </si>
  <si>
    <t xml:space="preserve">API token introspection endpoint</t>
  </si>
  <si>
    <t xml:space="preserve">External endpoint letting a third party validate a token before trusting it.</t>
  </si>
  <si>
    <t xml:space="preserve">A useful hardening step for Task Pulse's own external API, currently not confirmed to have this check.</t>
  </si>
  <si>
    <t xml:space="preserve">Test / Assessment builder and lifecycle</t>
  </si>
  <si>
    <t xml:space="preserve">Create tests of configurable length, draft, live, archived states, pass mark, scheduling windows, bulk edits.</t>
  </si>
  <si>
    <t xml:space="preserve">Core to StaffiQ's purpose, no equivalent object in Task Pulse.</t>
  </si>
  <si>
    <t xml:space="preserve">Test delivery engine</t>
  </si>
  <si>
    <t xml:space="preserve">Per question countdown timer, weighted partial credit scoring, hints, reveal answer, autosave, shuffled options, resumable sessions.</t>
  </si>
  <si>
    <t xml:space="preserve">Considerably more advanced than Task Pulse's simple onboarding quiz, listed separately from the quiz engine row above because this is the live exam experience, not a learning check.</t>
  </si>
  <si>
    <t xml:space="preserve">Question Mastery / adaptive practice</t>
  </si>
  <si>
    <t xml:space="preserve">Per person, per category mastery tracking that cycles through unmastered questions.</t>
  </si>
  <si>
    <t xml:space="preserve">Adaptive learning feature tied to the question bank.</t>
  </si>
  <si>
    <t xml:space="preserve">Attempt nullification</t>
  </si>
  <si>
    <t xml:space="preserve">Admin can void a specific test session's score from analytics while preserving the raw record for audit.</t>
  </si>
  <si>
    <t xml:space="preserve">Assessment integrity control.</t>
  </si>
  <si>
    <t xml:space="preserve">My Tests / My Results (employee self service)</t>
  </si>
  <si>
    <t xml:space="preserve">Employee facing views to start assigned assessments and review their own past results.</t>
  </si>
  <si>
    <t xml:space="preserve">Core employee facing assessment screens.</t>
  </si>
  <si>
    <t xml:space="preserve">Learning Catalog</t>
  </si>
  <si>
    <t xml:space="preserve">Browsable index of available topics and questions for self study, separate from the structured course catalogue.</t>
  </si>
  <si>
    <t xml:space="preserve">Self directed browsing feature.</t>
  </si>
  <si>
    <t xml:space="preserve">Question Bank management</t>
  </si>
  <si>
    <t xml:space="preserve">Import question sets from CSV or Excel, per batch topic and difficulty breakdown, bulk delete or download.</t>
  </si>
  <si>
    <t xml:space="preserve">Foundation of StaffiQ's entire assessment system.</t>
  </si>
  <si>
    <t xml:space="preserve">Help Center, FAQ, and learning path progress</t>
  </si>
  <si>
    <t xml:space="preserve">Searchable FAQ plus learning path progress tracking, content bookmarking, helpful or not helpful feedback.</t>
  </si>
  <si>
    <t xml:space="preserve">Partial (Help &amp; FAQ only, no learning path tracking)</t>
  </si>
  <si>
    <t xml:space="preserve">Task Pulse's Help &amp; FAQ is search only, no bookmarking or path progress tracking the way StaffiQ's is.</t>
  </si>
  <si>
    <t xml:space="preserve">Employee Report Card</t>
  </si>
  <si>
    <t xml:space="preserve">Per employee training and assessment tabbed report.</t>
  </si>
  <si>
    <t xml:space="preserve">Assessment specific reporting, no direct equivalent object in Task Pulse.</t>
  </si>
  <si>
    <t xml:space="preserve">Improvement Idea Catalogue</t>
  </si>
  <si>
    <t xml:space="preserve">Surfaces roadmap ideas directly inside the Reports and Analytics screens for the Admin to browse.</t>
  </si>
  <si>
    <t xml:space="preserve">Same idea as the roadmap console listed under Admin &amp; Super Admin above, but embedded contextually inside Reports specifically.</t>
  </si>
  <si>
    <t xml:space="preserve">Immutable audit logging</t>
  </si>
  <si>
    <t xml:space="preserve">Every login, permission change, role change, logo change, token or grant lifecycle event, and subscription transition is logged and never edited.</t>
  </si>
  <si>
    <t xml:space="preserve">Independently built, similar coverage, StaffiQ's list of logged event types is slightly broader.</t>
  </si>
  <si>
    <t xml:space="preserve">Hosting security headers</t>
  </si>
  <si>
    <t xml:space="preserve">Content Security Policy, HSTS, X Frame Options, X Content Type Options, Referrer Policy, Permissions Policy.</t>
  </si>
  <si>
    <t xml:space="preserve">In StaffiQ, recommend confirming for Task Pulse</t>
  </si>
  <si>
    <t xml:space="preserve">Confirmed present in StaffiQ's firebase.json, not separately confirmed for Task Pulse in this pass, worth checking both configs side by side.</t>
  </si>
  <si>
    <t xml:space="preserve">No hard delete user policy</t>
  </si>
  <si>
    <t xml:space="preserve">Users can only be set active, disabled, suspended or left, never actually deleted, every change audited.</t>
  </si>
  <si>
    <t xml:space="preserve">Live (Trash based)</t>
  </si>
  <si>
    <t xml:space="preserve">Live (status based)</t>
  </si>
  <si>
    <t xml:space="preserve">Same underlying principle, different mechanism: Task Pulse routes deletions through Trash, StaffiQ prevents deletion entirely via status.</t>
  </si>
  <si>
    <t xml:space="preserve">Payment webhook signature verification and idempotency</t>
  </si>
  <si>
    <t xml:space="preserve">Verifies every incoming payment webhook is genuine and is not processed twice.</t>
  </si>
  <si>
    <t xml:space="preserve">Independently built, correct practice in both.</t>
  </si>
  <si>
    <t xml:space="preserve">Floating problem report launcher</t>
  </si>
  <si>
    <t xml:space="preserve">Always available report a problem button with repro steps, affected area picker, dismiss for session, day or week.</t>
  </si>
  <si>
    <t xml:space="preserve">Not present (bug report is a dedicated page, not a floating launcher)</t>
  </si>
  <si>
    <t xml:space="preserve">A floating, always reachable launcher lowers the friction to report a problem compared to needing to navigate to a dedicated page first.</t>
  </si>
  <si>
    <t xml:space="preserve">Marketing / Public Site</t>
  </si>
  <si>
    <t xml:space="preserve">Public marketing site (home, features, pricing, about, demo request)</t>
  </si>
  <si>
    <t xml:space="preserve">Public facing site explaining the product to prospective clients.</t>
  </si>
  <si>
    <t xml:space="preserve">Both apps maintain a separate public marketing site from the logged in product, independently built and independently deployed.</t>
  </si>
  <si>
    <t xml:space="preserve">Client login redirect from marketing to app</t>
  </si>
  <si>
    <t xml:space="preserve">Sends marketing site visitors to the correct login address for the actual product.</t>
  </si>
  <si>
    <t xml:space="preserve">Same pattern, independently built.</t>
  </si>
  <si>
    <t xml:space="preserve">Recommendation and message popups</t>
  </si>
  <si>
    <t xml:space="preserve">Contextual toast style surfaces for unread high priority notifications and messages.</t>
  </si>
  <si>
    <t xml:space="preserve">Depends on the notification and messaging system above, which StaffiQ does not have.</t>
  </si>
  <si>
    <t xml:space="preserve">Password reset mechanism</t>
  </si>
  <si>
    <t xml:space="preserve">Admin can set or generate a new password and display it once, not an emailed self service link.</t>
  </si>
  <si>
    <t xml:space="preserve">This is the exact area Ayodeji asked for a password reset button on both apps. Task Pulse's current version is Admin assisted, not self service, because the email system that would carry a reset link is not wired up, see Build Gaps.</t>
  </si>
  <si>
    <t xml:space="preserve">Workspace login and session model</t>
  </si>
  <si>
    <t xml:space="preserve">Task Pulse: full name and password, exchanged for a Firebase custom token. StaffiQ: workspace code plus username and password, exchanged for a 12 hour signed session token, tenant claim rechecked server side.</t>
  </si>
  <si>
    <t xml:space="preserve">Architecturally different login flows achieving the same goal, worth Ayodeji knowing both exist rather than assuming they are identical.</t>
  </si>
  <si>
    <t xml:space="preserve">Tenant colour theming</t>
  </si>
  <si>
    <t xml:space="preserve">Per tenant primary and accent colour fields beyond just the logo.</t>
  </si>
  <si>
    <t xml:space="preserve">Foundation only (data field exists, UI not confirmed)</t>
  </si>
  <si>
    <t xml:space="preserve">Neither app was confirmed to have a full colour theming UI in this pass, worth a direct check on both sides before deciding which to build first.</t>
  </si>
  <si>
    <t xml:space="preserve">Course title, description and cover image editing</t>
  </si>
  <si>
    <t xml:space="preserve">Basic metadata editing for a course entry.</t>
  </si>
  <si>
    <t xml:space="preserve">Content authoring detail, part of the course catalogue feature above.</t>
  </si>
  <si>
    <t xml:space="preserve">Crowd sourced affected area label moderation</t>
  </si>
  <si>
    <t xml:space="preserve">Suggestions for a bug's affected area label are moderated by the Owner before going live.</t>
  </si>
  <si>
    <t xml:space="preserve">A specific, smaller idea within StaffiQ's richer bug lifecycle, worth adopting alongside the fuller state list recommendation above.</t>
  </si>
  <si>
    <t xml:space="preserve">AI usage cost and anomaly detection</t>
  </si>
  <si>
    <t xml:space="preserve">Automatic detection of usage spikes, error bursts, or zero usage on a paid plan.</t>
  </si>
  <si>
    <t xml:space="preserve">Partial (dashboard exists, aggregation not scheduled, see Build Gaps)</t>
  </si>
  <si>
    <t xml:space="preserve">Task Pulse has the dashboard UI but the underlying data never populates, see Build Gaps, fix that first rather than treating this as a net new feature to build.</t>
  </si>
  <si>
    <t xml:space="preserve">Seat management and guided seat reduction</t>
  </si>
  <si>
    <t xml:space="preserve">Seat limit tracking with a guided flow for reducing seats without breaking active users.</t>
  </si>
  <si>
    <t xml:space="preserve">StaffiQ's billing model is per user pricing per its public pricing page, so an equivalent seat reduction flow likely matters there too, worth confirming directly.</t>
  </si>
  <si>
    <t xml:space="preserve">Annual billing with two months free framing</t>
  </si>
  <si>
    <t xml:space="preserve">Annual plan option explicitly framed as two months free versus paying monthly.</t>
  </si>
  <si>
    <t xml:space="preserve">Confirmed on StaffiQ's public pricing page, not separately confirmed for Task Pulse in this pass.</t>
  </si>
  <si>
    <t xml:space="preserve">Contribution points and badges (general feedback)</t>
  </si>
  <si>
    <t xml:space="preserve">Live points and badge tier system rewarding approved bug reports and feedback, separate from the Learning Centre's own badge system.</t>
  </si>
  <si>
    <t xml:space="preserve">Both apps reward user contributions with points and badges, independently built, worth comparing the two badge tier ladders directly with Ayodeji since they likely differ in detail.</t>
  </si>
  <si>
    <t xml:space="preserve">Weekly study prompts and case study generation</t>
  </si>
  <si>
    <t xml:space="preserve">Scheduled jobs intended to generate fresh study prompts and case studies automatically over time.</t>
  </si>
  <si>
    <t xml:space="preserve">Planned only (coded, never scheduled, see Build Gaps)</t>
  </si>
  <si>
    <t xml:space="preserve">Exclusive to Task Pulse (not yet live)</t>
  </si>
  <si>
    <t xml:space="preserve">Part of the same disconnected Learning Centre subsystem flagged in Build Gaps, not something to port to StaffiQ until it is actually running in Task Pulse first.</t>
  </si>
  <si>
    <t xml:space="preserve">Consent flow before AI personalisation</t>
  </si>
  <si>
    <t xml:space="preserve">An explicit opt in step before an AI system uses personal learning data to personalise responses.</t>
  </si>
  <si>
    <t xml:space="preserve">Planned (named in the recent Learning Centre specification, not yet built)</t>
  </si>
  <si>
    <t xml:space="preserve">Needs a direct decision from Ayodeji</t>
  </si>
  <si>
    <t xml:space="preserve">Relevant to Nigeria's NDPA data protection law, flagged in Task Pulse's own new specification document as needing lawyer review before September, worth checking whether StaffiQ's AI features need the same review.</t>
  </si>
  <si>
    <t xml:space="preserve">Super Admin / Platform Owner console, side by side — priority area per Ayodeji's request</t>
  </si>
  <si>
    <t xml:space="preserve">Console area</t>
  </si>
  <si>
    <t xml:space="preserve">Task Pulse detail</t>
  </si>
  <si>
    <t xml:space="preserve">StaffiQ detail</t>
  </si>
  <si>
    <t xml:space="preserve">Note</t>
  </si>
  <si>
    <t xml:space="preserve">Cross tenant / workspace dashboard</t>
  </si>
  <si>
    <t xml:space="preserve">Yes</t>
  </si>
  <si>
    <t xml:space="preserve">Cross Tenant Dashboard: every tenant, status, seats, activity, lifecycle actions.</t>
  </si>
  <si>
    <t xml:space="preserve">Tenant Management Panel: create, inspect, switch, govern every workspace, tenant audit log.</t>
  </si>
  <si>
    <t xml:space="preserve">Equivalent capability, different names.</t>
  </si>
  <si>
    <t xml:space="preserve">Cross workspace user management</t>
  </si>
  <si>
    <t xml:space="preserve">Every user across every tenant, sortable, lockable, create, promote, demote, move, copy between tenants.</t>
  </si>
  <si>
    <t xml:space="preserve">Partial</t>
  </si>
  <si>
    <t xml:space="preserve">Tenant Management Panel creates tenant users and resets passwords, but no move or copy between tenants function was found.</t>
  </si>
  <si>
    <t xml:space="preserve">Task Pulse is ahead here. This move or copy logic is exactly what the workspace support access redesign should build on.</t>
  </si>
  <si>
    <t xml:space="preserve">Client workspace creation and trial review</t>
  </si>
  <si>
    <t xml:space="preserve">Create tenants, approve or decline trial requests, seat reduction, 50 point health inspection.</t>
  </si>
  <si>
    <t xml:space="preserve">No public trial request flow confirmed in this pass.</t>
  </si>
  <si>
    <t xml:space="preserve">Confirm directly with Ayodeji whether StaffiQ takes self serve trial signups at all.</t>
  </si>
  <si>
    <t xml:space="preserve">Plans / pricing control</t>
  </si>
  <si>
    <t xml:space="preserve">Feature toggles, pricing, scheduled time boxed promotions per plan.</t>
  </si>
  <si>
    <t xml:space="preserve">Admin Plan Manager: CRUD plan definitions, archive or activate.</t>
  </si>
  <si>
    <t xml:space="preserve">Equivalent capability.</t>
  </si>
  <si>
    <t xml:space="preserve">API Token Studio</t>
  </si>
  <si>
    <t xml:space="preserve">Generate, govern, rotate, revoke, audit tokens, scoped or Super Token mode, deployment tracking.</t>
  </si>
  <si>
    <t xml:space="preserve">Yes (UI is a stub file, real UI is inline in App.tsx)</t>
  </si>
  <si>
    <t xml:space="preserve">Same feature set: super or scoped tokens, revoke, rotate, archive, risk level, rate limits, audit log.</t>
  </si>
  <si>
    <t xml:space="preserve">StaffiQ's dedicated TokenStudio.tsx component is a 14 line placeholder. The real, working version lives inside the giant SettingsPanel in App.tsx instead. Worth moving it into its own file to match Task Pulse's cleaner structure.</t>
  </si>
  <si>
    <t xml:space="preserve">AI Context management</t>
  </si>
  <si>
    <t xml:space="preserve">Admin managed markdown documents grounding AI drafting.</t>
  </si>
  <si>
    <t xml:space="preserve">No equivalent found.</t>
  </si>
  <si>
    <t xml:space="preserve">Recommend porting to StaffiQ.</t>
  </si>
  <si>
    <t xml:space="preserve">AI Usage / governance dashboard</t>
  </si>
  <si>
    <t xml:space="preserve">Per tenant AI call volume, cost, anomaly detection, audit log of policy changes.</t>
  </si>
  <si>
    <t xml:space="preserve">Cross tenant AI consumption dashboard with automatic anomaly detection, per tenant enable or disable, policy change audit log, CSV export.</t>
  </si>
  <si>
    <t xml:space="preserve">StaffiQ's version is at least as complete, arguably more so with automatic anomaly detection built in.</t>
  </si>
  <si>
    <t xml:space="preserve">Bug report approval gateway</t>
  </si>
  <si>
    <t xml:space="preserve">Approval gate for investigating, repairing, deploying user submitted bugs.</t>
  </si>
  <si>
    <t xml:space="preserve">Owner Bug Repair Gateway: same gate, plus crowd sourced label moderation, quality scoring, duplicate detection.</t>
  </si>
  <si>
    <t xml:space="preserve">StaffiQ's is more feature rich, recommend Task Pulse review it as a model.</t>
  </si>
  <si>
    <t xml:space="preserve">Feature inventory self scan</t>
  </si>
  <si>
    <t xml:space="preserve">Private map of detected features, versioned scans, scan logs, PDF/DOCX/CSV export.</t>
  </si>
  <si>
    <t xml:space="preserve">Same capability, plus a scheduled automatic daily re scan.</t>
  </si>
  <si>
    <t xml:space="preserve">StaffiQ's daily automatic re scan is a real edge, recommend Task Pulse add the same schedule.</t>
  </si>
  <si>
    <t xml:space="preserve">Confidential document viewer</t>
  </si>
  <si>
    <t xml:space="preserve">A single hard coded brand or pitch document visible only to Ayodeji's account.</t>
  </si>
  <si>
    <t xml:space="preserve">Bespoke to Task Pulse, not a general pattern worth porting as is.</t>
  </si>
  <si>
    <t xml:space="preserve">Chat / message log viewer</t>
  </si>
  <si>
    <t xml:space="preserve">Planned, not built</t>
  </si>
  <si>
    <t xml:space="preserve">Nav link exists and points at a 404, the real component (ChatLogViewer) exists in code but is never wired to a route.</t>
  </si>
  <si>
    <t xml:space="preserve">No messaging system exists in StaffiQ to have logs of.</t>
  </si>
  <si>
    <t xml:space="preserve">Task Pulse: five minute fix, wire the existing component to the existing route. See Build Gaps.</t>
  </si>
  <si>
    <t xml:space="preserve">Delegated capability grants</t>
  </si>
  <si>
    <t xml:space="preserve">Owner grants billing_admin, support, or finance capabilities to trusted staff without making them full Super Admin, every grant audited.</t>
  </si>
  <si>
    <t xml:space="preserve">This is close to, but not the same as, the workspace support access feature Ayodeji asked about. Recommend Task Pulse build its own version, and consider whether StaffiQ's grant categories should expand to include a general workspace support grant too.</t>
  </si>
  <si>
    <t xml:space="preserve">Branding control</t>
  </si>
  <si>
    <t xml:space="preserve">Logo and colour upload and management.</t>
  </si>
  <si>
    <t xml:space="preserve">Same capability, same stub file pattern as Token Studio above.</t>
  </si>
  <si>
    <t xml:space="preserve">Same recommendation as Token Studio: extract the real UI out of App.tsx into its own component file.</t>
  </si>
  <si>
    <t xml:space="preserve">Tester / demo account governance</t>
  </si>
  <si>
    <t xml:space="preserve">Enable, disable, regenerate passwords for controlled demo or test accounts, locked to one tenant.</t>
  </si>
  <si>
    <t xml:space="preserve">Exactly two hardcoded accounts, testadmin and testuser, same governance actions.</t>
  </si>
  <si>
    <t xml:space="preserve">StaffiQ's version is narrower by design, only two named accounts rather than a general test account system.</t>
  </si>
  <si>
    <t xml:space="preserve">Super Admin identity model</t>
  </si>
  <si>
    <t xml:space="preserve">Role plus one hardcoded user ID and name match (isPrimaryAdminAccount).</t>
  </si>
  <si>
    <t xml:space="preserve">Role plus hardcoded user ID and name, all three must match (isPlatformOwner).</t>
  </si>
  <si>
    <t xml:space="preserve">Both apps use the same pattern: identity, not just role, decides who the real Super Admin is. StaffiQ's check is slightly stricter, three conditions instead of two.</t>
  </si>
  <si>
    <t xml:space="preserve">What is left, unfinished, disconnected, or stubbed — found by reading the code</t>
  </si>
  <si>
    <t xml:space="preserve">App</t>
  </si>
  <si>
    <t xml:space="preserve">Severity</t>
  </si>
  <si>
    <t xml:space="preserve">Finding</t>
  </si>
  <si>
    <t xml:space="preserve">Recommendation</t>
  </si>
  <si>
    <t xml:space="preserve">High</t>
  </si>
  <si>
    <t xml:space="preserve">Mr Ayo's Learning Centre companion, gamification engine, and 42 badge catalogue (over 2,300 lines across mr-ayo.ts, gamification-engine.ts, badge-definitions.ts, plus two ready popup components) are never imported by any page or route. The feature has never been seen by a real user.</t>
  </si>
  <si>
    <t xml:space="preserve">Decide: finish wiring it in, or park it explicitly so nobody accidentally builds on top of dead code. A recent VS Code Copilot session already wrote a full 18 section build specification for this exact system, dated 2026-07-21, review that first.</t>
  </si>
  <si>
    <t xml:space="preserve">10 scheduled Cloud Functions are defined (learning streaks, digests, industry research, benchmarks) but never exported from the deployed functions entry point, so none of them ever run.</t>
  </si>
  <si>
    <t xml:space="preserve">Either wire them into functions/src/index.ts and deploy, or remove them if they are superseded by the newer specification above.</t>
  </si>
  <si>
    <t xml:space="preserve">Email sending is completely built (SendGrid primary, Postmark fallback, 15 templates, a queue) but nothing calls it. Task Pulse currently sends zero email of any kind.</t>
  </si>
  <si>
    <t xml:space="preserve">This blocks real password reset emails, which Ayodeji specifically asked for. Wiring the queue caller is likely the fastest path to the password reset button he wants.</t>
  </si>
  <si>
    <t xml:space="preserve">Billing backend (Paystack, Flutterwave, Stripe, proration, entitlements, checkout API) is complete server side, but no screen in the product calls the checkout API, and the entitlement hook is never mounted anywhere.</t>
  </si>
  <si>
    <t xml:space="preserve">Reuse StaffiQ's already built self serve checkout, upgrade, downgrade and cancel screens as the design reference, do not design new ones from scratch.</t>
  </si>
  <si>
    <t xml:space="preserve">Medium</t>
  </si>
  <si>
    <t xml:space="preserve">AI usage aggregation functions exist but are never scheduled, so the AI Usage dashboard's period rollups never populate.</t>
  </si>
  <si>
    <t xml:space="preserve">Small fix: wrap as a scheduled function the same way saturdayJob and taskSyncJob already are.</t>
  </si>
  <si>
    <t xml:space="preserve">The sidebar links to a Chat Logs viewer at a route that does not exist, a 404. The real viewer component already exists and is fully built, just never connected.</t>
  </si>
  <si>
    <t xml:space="preserve">Five minute fix, add the missing page.tsx that renders the existing component.</t>
  </si>
  <si>
    <t xml:space="preserve">Company Policy and SOP pages are empty placeholder shells with no real content, upload, or document viewer behind them, despite showing a Ready status badge.</t>
  </si>
  <si>
    <t xml:space="preserve">Either build real content management here or remove the misleading Ready badge until it is real.</t>
  </si>
  <si>
    <t xml:space="preserve">Low</t>
  </si>
  <si>
    <t xml:space="preserve">A large, older 20,800 line marketing component with a Work in progress labelled card is completely orphaned, no route uses it, its internal links point at pages that do not exist.</t>
  </si>
  <si>
    <t xml:space="preserve">Safe to delete, the live marketing site uses a separate, smaller, actively maintained component instead.</t>
  </si>
  <si>
    <t xml:space="preserve">Every user record stores a readable plaintext password field alongside the correct bcrypt hash. Task Pulse's own architecture document explicitly calls this pattern a critical defect if found.</t>
  </si>
  <si>
    <t xml:space="preserve">This should be treated as a security fix, not a feature request, and prioritised independently of everything else in this workbook.</t>
  </si>
  <si>
    <t xml:space="preserve">Team view (a Supervisor seeing their team) only checks direct reports one level deep, not the full reporting chain.</t>
  </si>
  <si>
    <t xml:space="preserve">Exactly the gap Ayodeji's hierarchy aware AI access request also depends on, fix once, benefits both.</t>
  </si>
  <si>
    <t xml:space="preserve">Three Super Admin panel files (BrandingControl.tsx, TokenStudio.tsx, TesterAccountControl.tsx) are each a 14 line empty placeholder. The real, working UI for all three is built inline inside one 22,000 line App.tsx file instead.</t>
  </si>
  <si>
    <t xml:space="preserve">Extract the real UI out of App.tsx into these dedicated files. Purely a code organisation fix, not a feature gap, since the functionality itself works.</t>
  </si>
  <si>
    <t xml:space="preserve">Flutterwave payment provider is only partially built, chargeAuthorization and createRefund both explicitly throw not implemented errors. Only Paystack has full recurring billing and refunds.</t>
  </si>
  <si>
    <t xml:space="preserve">Finish Flutterwave, or clearly disable it as an option in the plan manager until it is complete, rather than leaving a provider that will fail on real use.</t>
  </si>
  <si>
    <t xml:space="preserve">Two parallel backend implementations exist, a legacy plain JavaScript functions/index.js which is the one actually deployed, and a newer, better typed functions/src/** rewrite which is not yet the active entry point.</t>
  </si>
  <si>
    <t xml:space="preserve">Finish the migration and cut over, maintaining two versions of the same logic is a growing maintenance risk.</t>
  </si>
  <si>
    <t xml:space="preserve">The AI Usage Dashboard's monthly call limit field has a literal not implemented in demo message instead of a working save action.</t>
  </si>
  <si>
    <t xml:space="preserve">Small, contained fix.</t>
  </si>
  <si>
    <t xml:space="preserve">Of 83 catalogued training content types, only 35 are marked ready, 48 are not yet built, including nearly all assessment authoring formats, AI and adaptive formats, and SCORM or xAPI packages.</t>
  </si>
  <si>
    <t xml:space="preserve">Not urgent, this is an intentionally large roadmap catalogue, but worth Ayodeji seeing the real ready versus planned split.</t>
  </si>
  <si>
    <t xml:space="preserve">The in app roadmap catalogue itself already admits most of its own ~100 listed ideas default to Roadmap status, meaning not built.</t>
  </si>
  <si>
    <t xml:space="preserve">This is healthy self honesty in the code, not a defect, flagged here only so Ayodeji has the real count rather than assuming the catalogue reflects built features.</t>
  </si>
  <si>
    <t xml:space="preserve">No manager, supervisor, or reporting hierarchy exists anywhere in the data model or access control. A supervisorId field exists but is decorative only, populated by CSV import and never used to scope or restrict anything.</t>
  </si>
  <si>
    <t xml:space="preserve">Same root cause and same fix needed as the Task Pulse hierarchy gap above. Build once, apply the same pattern to both apps.</t>
  </si>
  <si>
    <t xml:space="preserve">One authorisation check for who can manage training uses hardcoded personal names (Ayodeji Falope, Samuel Martin) instead of a role or permission flag.</t>
  </si>
  <si>
    <t xml:space="preserve">Fragile and will not scale past these two named people. Replace with a proper permission flag.</t>
  </si>
  <si>
    <t xml:space="preserve">Tenant colour branding fields exist in the data model but no UI to set them was confirmed, only the logo upload flow was found.</t>
  </si>
  <si>
    <t xml:space="preserve">Confirm directly whether this was intentionally deferred or simply missed.</t>
  </si>
  <si>
    <t xml:space="preserve">Both apps</t>
  </si>
  <si>
    <t xml:space="preserve">Neither app has a working manager or reporting hierarchy for access control purposes. This directly blocks the hierarchy aware AI access feature requested for both apps, and any manager facing WhatsApp assistant feature.</t>
  </si>
  <si>
    <t xml:space="preserve">This is the single most important shared prerequisite across everything discussed in this session. Build it once, as a shared design, then implement in each app's own codebase.</t>
  </si>
  <si>
    <t xml:space="preserve">Whether either app currently sends a working password reset email was not fully confirmed for StaffiQ, and confirmed broken for Task Pulse (see above).</t>
  </si>
  <si>
    <t xml:space="preserve">Ayodeji asked for a password reset button for both. Task Pulse needs its email queue wired up first. StaffiQ needs a direct confirmation before assuming it already works.</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</si>
</sst>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2"/>
      <color rgb="FF1F3864"/>
      <name val="Arial"/>
      <family val="0"/>
      <charset val="1"/>
    </font>
    <font>
      <sz val="10"/>
      <name val="Arial"/>
      <family val="0"/>
      <charset val="1"/>
    </font>
    <font>
      <b val="true"/>
      <sz val="10"/>
      <name val="Arial"/>
      <family val="0"/>
      <charset val="1"/>
    </font>
    <font>
      <b val="true"/>
      <sz val="11"/>
      <color rgb="FFFFFFFF"/>
      <name val="Arial"/>
      <family val="0"/>
      <charset val="1"/>
    </font>
  </fonts>
  <fills count="10">
    <fill>
      <patternFill patternType="none"/>
    </fill>
    <fill>
      <patternFill patternType="gray125"/>
    </fill>
    <fill>
      <patternFill patternType="solid">
        <fgColor rgb="FF1F3864"/>
        <bgColor rgb="FF333333"/>
      </patternFill>
    </fill>
    <fill>
      <patternFill patternType="solid">
        <fgColor rgb="FFDDEBF7"/>
        <bgColor rgb="FFE2EFDA"/>
      </patternFill>
    </fill>
    <fill>
      <patternFill patternType="solid">
        <fgColor rgb="FFFFF2CC"/>
        <bgColor rgb="FFFCE4D6"/>
      </patternFill>
    </fill>
    <fill>
      <patternFill patternType="solid">
        <fgColor rgb="FFF2F2F2"/>
        <bgColor rgb="FFE2EFDA"/>
      </patternFill>
    </fill>
    <fill>
      <patternFill patternType="solid">
        <fgColor rgb="FFE2EFDA"/>
        <bgColor rgb="FFDDEBF7"/>
      </patternFill>
    </fill>
    <fill>
      <patternFill patternType="solid">
        <fgColor rgb="FFFCE4D6"/>
        <bgColor rgb="FFFFF2CC"/>
      </patternFill>
    </fill>
    <fill>
      <patternFill patternType="solid">
        <fgColor rgb="FFFFE699"/>
        <bgColor rgb="FFFFF2CC"/>
      </patternFill>
    </fill>
    <fill>
      <patternFill patternType="solid">
        <fgColor rgb="FFF8CBAD"/>
        <bgColor rgb="FFFFE699"/>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left" vertical="top"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7" fillId="6" borderId="1" xfId="0" applyFont="true" applyBorder="true" applyAlignment="true" applyProtection="false">
      <alignment horizontal="center" vertical="top" textRotation="0" wrapText="true" indent="0" shrinkToFit="false"/>
      <protection locked="true" hidden="false"/>
    </xf>
    <xf numFmtId="164" fontId="7" fillId="7" borderId="1" xfId="0" applyFont="true" applyBorder="true" applyAlignment="true" applyProtection="false">
      <alignment horizontal="left" vertical="top" textRotation="0" wrapText="true" indent="0" shrinkToFit="false"/>
      <protection locked="true" hidden="false"/>
    </xf>
    <xf numFmtId="164" fontId="7" fillId="7" borderId="1" xfId="0" applyFont="true" applyBorder="true" applyAlignment="true" applyProtection="false">
      <alignment horizontal="center" vertical="top"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8" fillId="6" borderId="1" xfId="0" applyFont="true" applyBorder="true" applyAlignment="true" applyProtection="false">
      <alignment horizontal="left" vertical="top" textRotation="0" wrapText="true" indent="0" shrinkToFit="false"/>
      <protection locked="true" hidden="false"/>
    </xf>
    <xf numFmtId="164" fontId="8" fillId="7" borderId="1" xfId="0" applyFont="true" applyBorder="true" applyAlignment="true" applyProtection="false">
      <alignment horizontal="left" vertical="top" textRotation="0" wrapText="true" indent="0" shrinkToFit="false"/>
      <protection locked="true" hidden="false"/>
    </xf>
    <xf numFmtId="164" fontId="7" fillId="8"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8" fillId="9" borderId="1" xfId="0" applyFont="true" applyBorder="true" applyAlignment="true" applyProtection="false">
      <alignment horizontal="center" vertical="top" textRotation="0" wrapText="true" indent="0" shrinkToFit="false"/>
      <protection locked="true" hidden="false"/>
    </xf>
    <xf numFmtId="164" fontId="8" fillId="8" borderId="1" xfId="0" applyFont="true" applyBorder="true" applyAlignment="true" applyProtection="false">
      <alignment horizontal="center" vertical="top" textRotation="0" wrapText="true" indent="0" shrinkToFit="false"/>
      <protection locked="true" hidden="false"/>
    </xf>
    <xf numFmtId="164" fontId="8" fillId="6"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F2F2F2"/>
          <bgColor rgb="FF000000"/>
        </patternFill>
      </fill>
    </dxf>
    <dxf>
      <fill>
        <patternFill patternType="solid">
          <fgColor rgb="FFFCE4D6"/>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
      <fill>
        <patternFill patternType="solid">
          <fgColor rgb="FFFFE699"/>
          <bgColor rgb="FF000000"/>
        </patternFill>
      </fill>
    </dxf>
    <dxf>
      <fill>
        <patternFill patternType="solid">
          <fgColor rgb="FFF8CBA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CE4D6"/>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E2EFDA"/>
      <rgbColor rgb="FFFFE6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2" min="2" style="0" width="90"/>
  </cols>
  <sheetData>
    <row r="1" customFormat="false" ht="19.7" hidden="false" customHeight="false" outlineLevel="0" collapsed="false">
      <c r="A1" s="1" t="s">
        <v>0</v>
      </c>
      <c r="B1" s="1"/>
    </row>
    <row r="2" customFormat="false" ht="15" hidden="false" customHeight="false" outlineLevel="0" collapsed="false">
      <c r="A2" s="2" t="s">
        <v>1</v>
      </c>
      <c r="B2" s="2"/>
    </row>
    <row r="4" customFormat="false" ht="15" hidden="false" customHeight="false" outlineLevel="0" collapsed="false">
      <c r="A4" s="3" t="s">
        <v>2</v>
      </c>
    </row>
    <row r="5" customFormat="false" ht="23.85" hidden="false" customHeight="false" outlineLevel="0" collapsed="false">
      <c r="A5" s="4" t="s">
        <v>3</v>
      </c>
      <c r="B5" s="5" t="s">
        <v>4</v>
      </c>
    </row>
    <row r="6" customFormat="false" ht="23.85" hidden="false" customHeight="false" outlineLevel="0" collapsed="false">
      <c r="A6" s="4" t="s">
        <v>5</v>
      </c>
      <c r="B6" s="5" t="s">
        <v>6</v>
      </c>
    </row>
    <row r="7" customFormat="false" ht="23.85" hidden="false" customHeight="false" outlineLevel="0" collapsed="false">
      <c r="A7" s="4" t="s">
        <v>7</v>
      </c>
      <c r="B7" s="5" t="s">
        <v>8</v>
      </c>
    </row>
    <row r="8" customFormat="false" ht="15" hidden="false" customHeight="false" outlineLevel="0" collapsed="false">
      <c r="A8" s="4"/>
      <c r="B8" s="5"/>
    </row>
    <row r="9" customFormat="false" ht="15" hidden="false" customHeight="false" outlineLevel="0" collapsed="false">
      <c r="A9" s="3" t="s">
        <v>9</v>
      </c>
    </row>
    <row r="10" customFormat="false" ht="15" hidden="false" customHeight="false" outlineLevel="0" collapsed="false">
      <c r="A10" s="4" t="s">
        <v>10</v>
      </c>
      <c r="B10" s="6" t="n">
        <f aca="false">COUNTA('Feature Comparison'!D3:D400)-COUNTIF('Feature Comparison'!D3:D400,"Not present")</f>
        <v>105</v>
      </c>
    </row>
    <row r="11" customFormat="false" ht="15" hidden="false" customHeight="false" outlineLevel="0" collapsed="false">
      <c r="A11" s="4" t="s">
        <v>11</v>
      </c>
      <c r="B11" s="6" t="n">
        <f aca="false">COUNTA('Feature Comparison'!E3:E400)-COUNTIF('Feature Comparison'!E3:E400,"Not present")</f>
        <v>86</v>
      </c>
    </row>
    <row r="12" customFormat="false" ht="15" hidden="false" customHeight="false" outlineLevel="0" collapsed="false">
      <c r="A12" s="4" t="s">
        <v>12</v>
      </c>
      <c r="B12" s="6" t="n">
        <f aca="false">COUNTIF('Feature Comparison'!F3:F400,"Exclusive to Task Pulse")</f>
        <v>29</v>
      </c>
    </row>
    <row r="13" customFormat="false" ht="15" hidden="false" customHeight="false" outlineLevel="0" collapsed="false">
      <c r="A13" s="4" t="s">
        <v>13</v>
      </c>
      <c r="B13" s="6" t="n">
        <f aca="false">COUNTIF('Feature Comparison'!F3:F400,"Exclusive to StaffiQ")</f>
        <v>14</v>
      </c>
    </row>
    <row r="14" customFormat="false" ht="15" hidden="false" customHeight="false" outlineLevel="0" collapsed="false">
      <c r="A14" s="4" t="s">
        <v>14</v>
      </c>
      <c r="B14" s="6" t="n">
        <f aca="false">COUNTIF('Feature Comparison'!F3:F400,"In both")</f>
        <v>41</v>
      </c>
    </row>
    <row r="15" customFormat="false" ht="15" hidden="false" customHeight="false" outlineLevel="0" collapsed="false">
      <c r="A15" s="4" t="s">
        <v>15</v>
      </c>
      <c r="B15" s="6" t="n">
        <f aca="false">COUNTIF('Feature Comparison'!F3:F400,"In Task Pulse, recommend for StaffiQ")</f>
        <v>16</v>
      </c>
    </row>
    <row r="16" customFormat="false" ht="15" hidden="false" customHeight="false" outlineLevel="0" collapsed="false">
      <c r="A16" s="4" t="s">
        <v>16</v>
      </c>
      <c r="B16" s="6" t="n">
        <f aca="false">COUNTIF('Feature Comparison'!F3:F400,"In StaffiQ, recommend for Task Pulse")</f>
        <v>19</v>
      </c>
    </row>
    <row r="17" customFormat="false" ht="15" hidden="false" customHeight="false" outlineLevel="0" collapsed="false">
      <c r="A17" s="4" t="s">
        <v>17</v>
      </c>
      <c r="B17" s="6" t="n">
        <f aca="false">COUNTA('Build Gaps'!B3:B60)</f>
        <v>21</v>
      </c>
    </row>
    <row r="18" customFormat="false" ht="15" hidden="false" customHeight="false" outlineLevel="0" collapsed="false">
      <c r="A18" s="4" t="s">
        <v>18</v>
      </c>
      <c r="B18" s="6" t="n">
        <f aca="false">COUNTIF('Build Gaps'!B3:B60,"High")</f>
        <v>7</v>
      </c>
    </row>
    <row r="19" customFormat="false" ht="15" hidden="false" customHeight="false" outlineLevel="0" collapsed="false">
      <c r="A19" s="4"/>
      <c r="B19" s="5"/>
    </row>
    <row r="20" customFormat="false" ht="15" hidden="false" customHeight="false" outlineLevel="0" collapsed="false">
      <c r="A20" s="3" t="s">
        <v>19</v>
      </c>
    </row>
    <row r="21" customFormat="false" ht="43.5" hidden="false" customHeight="true" outlineLevel="0" collapsed="false">
      <c r="A21" s="7" t="s">
        <v>20</v>
      </c>
      <c r="B21" s="5" t="s">
        <v>21</v>
      </c>
    </row>
    <row r="22" customFormat="false" ht="43.5" hidden="false" customHeight="true" outlineLevel="0" collapsed="false">
      <c r="A22" s="7" t="s">
        <v>22</v>
      </c>
      <c r="B22" s="5" t="s">
        <v>23</v>
      </c>
    </row>
    <row r="23" customFormat="false" ht="43.5" hidden="false" customHeight="true" outlineLevel="0" collapsed="false">
      <c r="A23" s="7" t="s">
        <v>24</v>
      </c>
      <c r="B23" s="5" t="s">
        <v>25</v>
      </c>
    </row>
    <row r="24" customFormat="false" ht="43.5" hidden="false" customHeight="true" outlineLevel="0" collapsed="false">
      <c r="A24" s="7" t="s">
        <v>26</v>
      </c>
      <c r="B24" s="5" t="s">
        <v>27</v>
      </c>
    </row>
    <row r="25" customFormat="false" ht="43.5" hidden="false" customHeight="true" outlineLevel="0" collapsed="false">
      <c r="A25" s="7" t="s">
        <v>28</v>
      </c>
      <c r="B25" s="5" t="s">
        <v>29</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30"/>
    <col collapsed="false" customWidth="true" hidden="false" outlineLevel="0" max="3" min="3" style="0" width="46"/>
    <col collapsed="false" customWidth="true" hidden="false" outlineLevel="0" max="5" min="4" style="0" width="16"/>
    <col collapsed="false" customWidth="true" hidden="false" outlineLevel="0" max="6" min="6" style="0" width="30"/>
    <col collapsed="false" customWidth="true" hidden="false" outlineLevel="0" max="7" min="7" style="0" width="46"/>
  </cols>
  <sheetData>
    <row r="1" customFormat="false" ht="15" hidden="false" customHeight="false" outlineLevel="0" collapsed="false">
      <c r="A1" s="8" t="s">
        <v>30</v>
      </c>
      <c r="B1" s="8"/>
      <c r="C1" s="8"/>
      <c r="D1" s="8"/>
      <c r="E1" s="8"/>
      <c r="F1" s="8"/>
      <c r="G1" s="8"/>
    </row>
    <row r="2" customFormat="false" ht="15" hidden="false" customHeight="false" outlineLevel="0" collapsed="false">
      <c r="A2" s="9" t="s">
        <v>31</v>
      </c>
      <c r="B2" s="9" t="s">
        <v>32</v>
      </c>
      <c r="C2" s="9" t="s">
        <v>33</v>
      </c>
      <c r="D2" s="9" t="s">
        <v>34</v>
      </c>
      <c r="E2" s="9" t="s">
        <v>35</v>
      </c>
      <c r="F2" s="9" t="s">
        <v>36</v>
      </c>
      <c r="G2" s="9" t="s">
        <v>37</v>
      </c>
    </row>
    <row r="3" customFormat="false" ht="45.75" hidden="false" customHeight="true" outlineLevel="0" collapsed="false">
      <c r="A3" s="10" t="s">
        <v>38</v>
      </c>
      <c r="B3" s="11" t="s">
        <v>39</v>
      </c>
      <c r="C3" s="11" t="s">
        <v>40</v>
      </c>
      <c r="D3" s="12" t="s">
        <v>41</v>
      </c>
      <c r="E3" s="12" t="s">
        <v>42</v>
      </c>
      <c r="F3" s="12" t="s">
        <v>12</v>
      </c>
      <c r="G3" s="11" t="s">
        <v>43</v>
      </c>
    </row>
    <row r="4" customFormat="false" ht="45.75" hidden="false" customHeight="true" outlineLevel="0" collapsed="false">
      <c r="A4" s="13" t="s">
        <v>38</v>
      </c>
      <c r="B4" s="11" t="s">
        <v>44</v>
      </c>
      <c r="C4" s="11" t="s">
        <v>45</v>
      </c>
      <c r="D4" s="12" t="s">
        <v>41</v>
      </c>
      <c r="E4" s="12" t="s">
        <v>42</v>
      </c>
      <c r="F4" s="12" t="s">
        <v>12</v>
      </c>
      <c r="G4" s="11" t="s">
        <v>46</v>
      </c>
    </row>
    <row r="5" customFormat="false" ht="45.75" hidden="false" customHeight="true" outlineLevel="0" collapsed="false">
      <c r="A5" s="13" t="s">
        <v>38</v>
      </c>
      <c r="B5" s="11" t="s">
        <v>47</v>
      </c>
      <c r="C5" s="11" t="s">
        <v>48</v>
      </c>
      <c r="D5" s="12" t="s">
        <v>41</v>
      </c>
      <c r="E5" s="12" t="s">
        <v>42</v>
      </c>
      <c r="F5" s="12" t="s">
        <v>12</v>
      </c>
      <c r="G5" s="11" t="s">
        <v>49</v>
      </c>
    </row>
    <row r="6" customFormat="false" ht="45.75" hidden="false" customHeight="true" outlineLevel="0" collapsed="false">
      <c r="A6" s="13" t="s">
        <v>38</v>
      </c>
      <c r="B6" s="11" t="s">
        <v>50</v>
      </c>
      <c r="C6" s="11" t="s">
        <v>51</v>
      </c>
      <c r="D6" s="12" t="s">
        <v>41</v>
      </c>
      <c r="E6" s="12" t="s">
        <v>42</v>
      </c>
      <c r="F6" s="12" t="s">
        <v>12</v>
      </c>
      <c r="G6" s="11" t="s">
        <v>52</v>
      </c>
    </row>
    <row r="7" customFormat="false" ht="45.75" hidden="false" customHeight="true" outlineLevel="0" collapsed="false">
      <c r="A7" s="13" t="s">
        <v>38</v>
      </c>
      <c r="B7" s="11" t="s">
        <v>53</v>
      </c>
      <c r="C7" s="11" t="s">
        <v>54</v>
      </c>
      <c r="D7" s="12" t="s">
        <v>41</v>
      </c>
      <c r="E7" s="12" t="s">
        <v>42</v>
      </c>
      <c r="F7" s="12" t="s">
        <v>12</v>
      </c>
      <c r="G7" s="11" t="s">
        <v>55</v>
      </c>
    </row>
    <row r="8" customFormat="false" ht="45.75" hidden="false" customHeight="true" outlineLevel="0" collapsed="false">
      <c r="A8" s="13" t="s">
        <v>38</v>
      </c>
      <c r="B8" s="11" t="s">
        <v>56</v>
      </c>
      <c r="C8" s="11" t="s">
        <v>57</v>
      </c>
      <c r="D8" s="12" t="s">
        <v>41</v>
      </c>
      <c r="E8" s="12" t="s">
        <v>42</v>
      </c>
      <c r="F8" s="12" t="s">
        <v>12</v>
      </c>
      <c r="G8" s="11" t="s">
        <v>58</v>
      </c>
    </row>
    <row r="9" customFormat="false" ht="45.75" hidden="false" customHeight="true" outlineLevel="0" collapsed="false">
      <c r="A9" s="14" t="s">
        <v>38</v>
      </c>
      <c r="B9" s="11" t="s">
        <v>59</v>
      </c>
      <c r="C9" s="11" t="s">
        <v>60</v>
      </c>
      <c r="D9" s="15" t="s">
        <v>41</v>
      </c>
      <c r="E9" s="15" t="s">
        <v>42</v>
      </c>
      <c r="F9" s="15" t="s">
        <v>61</v>
      </c>
      <c r="G9" s="11" t="s">
        <v>62</v>
      </c>
    </row>
    <row r="10" customFormat="false" ht="45.75" hidden="false" customHeight="true" outlineLevel="0" collapsed="false">
      <c r="A10" s="13" t="s">
        <v>38</v>
      </c>
      <c r="B10" s="11" t="s">
        <v>63</v>
      </c>
      <c r="C10" s="11" t="s">
        <v>64</v>
      </c>
      <c r="D10" s="12" t="s">
        <v>41</v>
      </c>
      <c r="E10" s="12" t="s">
        <v>42</v>
      </c>
      <c r="F10" s="12" t="s">
        <v>12</v>
      </c>
      <c r="G10" s="11" t="s">
        <v>65</v>
      </c>
    </row>
    <row r="11" customFormat="false" ht="45.75" hidden="false" customHeight="true" outlineLevel="0" collapsed="false">
      <c r="A11" s="13" t="s">
        <v>38</v>
      </c>
      <c r="B11" s="11" t="s">
        <v>66</v>
      </c>
      <c r="C11" s="11" t="s">
        <v>67</v>
      </c>
      <c r="D11" s="12" t="s">
        <v>41</v>
      </c>
      <c r="E11" s="12" t="s">
        <v>42</v>
      </c>
      <c r="F11" s="12" t="s">
        <v>12</v>
      </c>
      <c r="G11" s="11" t="s">
        <v>65</v>
      </c>
    </row>
    <row r="12" customFormat="false" ht="45.75" hidden="false" customHeight="true" outlineLevel="0" collapsed="false">
      <c r="A12" s="13" t="s">
        <v>38</v>
      </c>
      <c r="B12" s="11" t="s">
        <v>68</v>
      </c>
      <c r="C12" s="11" t="s">
        <v>69</v>
      </c>
      <c r="D12" s="12" t="s">
        <v>41</v>
      </c>
      <c r="E12" s="12" t="s">
        <v>42</v>
      </c>
      <c r="F12" s="12" t="s">
        <v>12</v>
      </c>
      <c r="G12" s="11" t="s">
        <v>65</v>
      </c>
    </row>
    <row r="13" customFormat="false" ht="45.75" hidden="false" customHeight="true" outlineLevel="0" collapsed="false">
      <c r="A13" s="13" t="s">
        <v>38</v>
      </c>
      <c r="B13" s="11" t="s">
        <v>70</v>
      </c>
      <c r="C13" s="11" t="s">
        <v>71</v>
      </c>
      <c r="D13" s="12" t="s">
        <v>41</v>
      </c>
      <c r="E13" s="12" t="s">
        <v>42</v>
      </c>
      <c r="F13" s="12" t="s">
        <v>12</v>
      </c>
      <c r="G13" s="11" t="s">
        <v>65</v>
      </c>
    </row>
    <row r="14" customFormat="false" ht="45.75" hidden="false" customHeight="true" outlineLevel="0" collapsed="false">
      <c r="A14" s="14" t="s">
        <v>38</v>
      </c>
      <c r="B14" s="11" t="s">
        <v>72</v>
      </c>
      <c r="C14" s="11" t="s">
        <v>73</v>
      </c>
      <c r="D14" s="15" t="s">
        <v>41</v>
      </c>
      <c r="E14" s="15" t="s">
        <v>42</v>
      </c>
      <c r="F14" s="15" t="s">
        <v>61</v>
      </c>
      <c r="G14" s="11" t="s">
        <v>74</v>
      </c>
    </row>
    <row r="15" customFormat="false" ht="45.75" hidden="false" customHeight="true" outlineLevel="0" collapsed="false">
      <c r="A15" s="13" t="s">
        <v>38</v>
      </c>
      <c r="B15" s="11" t="s">
        <v>75</v>
      </c>
      <c r="C15" s="11" t="s">
        <v>76</v>
      </c>
      <c r="D15" s="12" t="s">
        <v>41</v>
      </c>
      <c r="E15" s="12" t="s">
        <v>42</v>
      </c>
      <c r="F15" s="12" t="s">
        <v>12</v>
      </c>
      <c r="G15" s="11" t="s">
        <v>77</v>
      </c>
    </row>
    <row r="16" customFormat="false" ht="45.75" hidden="false" customHeight="true" outlineLevel="0" collapsed="false">
      <c r="A16" s="16" t="s">
        <v>38</v>
      </c>
      <c r="B16" s="11" t="s">
        <v>78</v>
      </c>
      <c r="C16" s="11" t="s">
        <v>79</v>
      </c>
      <c r="D16" s="17" t="s">
        <v>41</v>
      </c>
      <c r="E16" s="17" t="s">
        <v>41</v>
      </c>
      <c r="F16" s="17" t="s">
        <v>80</v>
      </c>
      <c r="G16" s="11" t="s">
        <v>81</v>
      </c>
    </row>
    <row r="17" customFormat="false" ht="45.75" hidden="false" customHeight="true" outlineLevel="0" collapsed="false">
      <c r="A17" s="13" t="s">
        <v>38</v>
      </c>
      <c r="B17" s="11" t="s">
        <v>82</v>
      </c>
      <c r="C17" s="11" t="s">
        <v>83</v>
      </c>
      <c r="D17" s="12" t="s">
        <v>41</v>
      </c>
      <c r="E17" s="12" t="s">
        <v>42</v>
      </c>
      <c r="F17" s="12" t="s">
        <v>12</v>
      </c>
      <c r="G17" s="11" t="s">
        <v>84</v>
      </c>
    </row>
    <row r="18" customFormat="false" ht="45.75" hidden="false" customHeight="true" outlineLevel="0" collapsed="false">
      <c r="A18" s="14" t="s">
        <v>38</v>
      </c>
      <c r="B18" s="11" t="s">
        <v>85</v>
      </c>
      <c r="C18" s="11" t="s">
        <v>86</v>
      </c>
      <c r="D18" s="15" t="s">
        <v>41</v>
      </c>
      <c r="E18" s="15" t="s">
        <v>42</v>
      </c>
      <c r="F18" s="15" t="s">
        <v>61</v>
      </c>
      <c r="G18" s="11" t="s">
        <v>87</v>
      </c>
    </row>
    <row r="19" customFormat="false" ht="45.75" hidden="false" customHeight="true" outlineLevel="0" collapsed="false">
      <c r="A19" s="13" t="s">
        <v>38</v>
      </c>
      <c r="B19" s="11" t="s">
        <v>88</v>
      </c>
      <c r="C19" s="11" t="s">
        <v>89</v>
      </c>
      <c r="D19" s="12" t="s">
        <v>41</v>
      </c>
      <c r="E19" s="12" t="s">
        <v>42</v>
      </c>
      <c r="F19" s="12" t="s">
        <v>12</v>
      </c>
      <c r="G19" s="11" t="s">
        <v>90</v>
      </c>
    </row>
    <row r="20" customFormat="false" ht="45.75" hidden="false" customHeight="true" outlineLevel="0" collapsed="false">
      <c r="A20" s="13" t="s">
        <v>38</v>
      </c>
      <c r="B20" s="11" t="s">
        <v>91</v>
      </c>
      <c r="C20" s="11" t="s">
        <v>92</v>
      </c>
      <c r="D20" s="12" t="s">
        <v>41</v>
      </c>
      <c r="E20" s="12" t="s">
        <v>42</v>
      </c>
      <c r="F20" s="12" t="s">
        <v>12</v>
      </c>
      <c r="G20" s="11" t="s">
        <v>93</v>
      </c>
    </row>
    <row r="21" customFormat="false" ht="45.75" hidden="false" customHeight="true" outlineLevel="0" collapsed="false">
      <c r="A21" s="16" t="s">
        <v>38</v>
      </c>
      <c r="B21" s="11" t="s">
        <v>94</v>
      </c>
      <c r="C21" s="11" t="s">
        <v>95</v>
      </c>
      <c r="D21" s="17" t="s">
        <v>41</v>
      </c>
      <c r="E21" s="17" t="s">
        <v>41</v>
      </c>
      <c r="F21" s="17" t="s">
        <v>80</v>
      </c>
      <c r="G21" s="11" t="s">
        <v>96</v>
      </c>
    </row>
    <row r="22" customFormat="false" ht="45.75" hidden="false" customHeight="true" outlineLevel="0" collapsed="false">
      <c r="A22" s="18" t="s">
        <v>97</v>
      </c>
      <c r="B22" s="11" t="s">
        <v>98</v>
      </c>
      <c r="C22" s="11" t="s">
        <v>99</v>
      </c>
      <c r="D22" s="15" t="s">
        <v>41</v>
      </c>
      <c r="E22" s="15" t="s">
        <v>42</v>
      </c>
      <c r="F22" s="15" t="s">
        <v>61</v>
      </c>
      <c r="G22" s="11" t="s">
        <v>100</v>
      </c>
    </row>
    <row r="23" customFormat="false" ht="45.75" hidden="false" customHeight="true" outlineLevel="0" collapsed="false">
      <c r="A23" s="16" t="s">
        <v>97</v>
      </c>
      <c r="B23" s="11" t="s">
        <v>101</v>
      </c>
      <c r="C23" s="11" t="s">
        <v>102</v>
      </c>
      <c r="D23" s="17" t="s">
        <v>41</v>
      </c>
      <c r="E23" s="17" t="s">
        <v>41</v>
      </c>
      <c r="F23" s="17" t="s">
        <v>80</v>
      </c>
      <c r="G23" s="11" t="s">
        <v>103</v>
      </c>
    </row>
    <row r="24" customFormat="false" ht="45.75" hidden="false" customHeight="true" outlineLevel="0" collapsed="false">
      <c r="A24" s="16" t="s">
        <v>97</v>
      </c>
      <c r="B24" s="11" t="s">
        <v>104</v>
      </c>
      <c r="C24" s="11" t="s">
        <v>105</v>
      </c>
      <c r="D24" s="17" t="s">
        <v>41</v>
      </c>
      <c r="E24" s="17" t="s">
        <v>41</v>
      </c>
      <c r="F24" s="17" t="s">
        <v>80</v>
      </c>
      <c r="G24" s="11" t="s">
        <v>106</v>
      </c>
    </row>
    <row r="25" customFormat="false" ht="45.75" hidden="false" customHeight="true" outlineLevel="0" collapsed="false">
      <c r="A25" s="14" t="s">
        <v>97</v>
      </c>
      <c r="B25" s="11" t="s">
        <v>107</v>
      </c>
      <c r="C25" s="11" t="s">
        <v>108</v>
      </c>
      <c r="D25" s="15" t="s">
        <v>41</v>
      </c>
      <c r="E25" s="15" t="s">
        <v>42</v>
      </c>
      <c r="F25" s="15" t="s">
        <v>61</v>
      </c>
      <c r="G25" s="11" t="s">
        <v>109</v>
      </c>
    </row>
    <row r="26" customFormat="false" ht="45.75" hidden="false" customHeight="true" outlineLevel="0" collapsed="false">
      <c r="A26" s="19" t="s">
        <v>97</v>
      </c>
      <c r="B26" s="11" t="s">
        <v>110</v>
      </c>
      <c r="C26" s="11" t="s">
        <v>111</v>
      </c>
      <c r="D26" s="20" t="s">
        <v>42</v>
      </c>
      <c r="E26" s="20" t="s">
        <v>112</v>
      </c>
      <c r="F26" s="20" t="s">
        <v>13</v>
      </c>
      <c r="G26" s="11" t="s">
        <v>113</v>
      </c>
    </row>
    <row r="27" customFormat="false" ht="45.75" hidden="false" customHeight="true" outlineLevel="0" collapsed="false">
      <c r="A27" s="19" t="s">
        <v>97</v>
      </c>
      <c r="B27" s="11" t="s">
        <v>114</v>
      </c>
      <c r="C27" s="11" t="s">
        <v>115</v>
      </c>
      <c r="D27" s="20" t="s">
        <v>42</v>
      </c>
      <c r="E27" s="20" t="s">
        <v>41</v>
      </c>
      <c r="F27" s="20" t="s">
        <v>13</v>
      </c>
      <c r="G27" s="11" t="s">
        <v>116</v>
      </c>
    </row>
    <row r="28" customFormat="false" ht="45.75" hidden="false" customHeight="true" outlineLevel="0" collapsed="false">
      <c r="A28" s="19" t="s">
        <v>97</v>
      </c>
      <c r="B28" s="11" t="s">
        <v>117</v>
      </c>
      <c r="C28" s="11" t="s">
        <v>118</v>
      </c>
      <c r="D28" s="20" t="s">
        <v>42</v>
      </c>
      <c r="E28" s="20" t="s">
        <v>41</v>
      </c>
      <c r="F28" s="20" t="s">
        <v>13</v>
      </c>
      <c r="G28" s="11" t="s">
        <v>119</v>
      </c>
    </row>
    <row r="29" customFormat="false" ht="45.75" hidden="false" customHeight="true" outlineLevel="0" collapsed="false">
      <c r="A29" s="19" t="s">
        <v>97</v>
      </c>
      <c r="B29" s="11" t="s">
        <v>120</v>
      </c>
      <c r="C29" s="11" t="s">
        <v>121</v>
      </c>
      <c r="D29" s="20" t="s">
        <v>42</v>
      </c>
      <c r="E29" s="20" t="s">
        <v>41</v>
      </c>
      <c r="F29" s="20" t="s">
        <v>13</v>
      </c>
      <c r="G29" s="11" t="s">
        <v>122</v>
      </c>
    </row>
    <row r="30" customFormat="false" ht="45.75" hidden="false" customHeight="true" outlineLevel="0" collapsed="false">
      <c r="A30" s="18" t="s">
        <v>123</v>
      </c>
      <c r="B30" s="11" t="s">
        <v>124</v>
      </c>
      <c r="C30" s="11" t="s">
        <v>125</v>
      </c>
      <c r="D30" s="15" t="s">
        <v>41</v>
      </c>
      <c r="E30" s="15" t="s">
        <v>42</v>
      </c>
      <c r="F30" s="15" t="s">
        <v>61</v>
      </c>
      <c r="G30" s="11" t="s">
        <v>126</v>
      </c>
    </row>
    <row r="31" customFormat="false" ht="45.75" hidden="false" customHeight="true" outlineLevel="0" collapsed="false">
      <c r="A31" s="16" t="s">
        <v>123</v>
      </c>
      <c r="B31" s="11" t="s">
        <v>127</v>
      </c>
      <c r="C31" s="11" t="s">
        <v>128</v>
      </c>
      <c r="D31" s="17" t="s">
        <v>41</v>
      </c>
      <c r="E31" s="17" t="s">
        <v>41</v>
      </c>
      <c r="F31" s="17" t="s">
        <v>80</v>
      </c>
      <c r="G31" s="11" t="s">
        <v>129</v>
      </c>
    </row>
    <row r="32" customFormat="false" ht="45.75" hidden="false" customHeight="true" outlineLevel="0" collapsed="false">
      <c r="A32" s="14" t="s">
        <v>123</v>
      </c>
      <c r="B32" s="11" t="s">
        <v>130</v>
      </c>
      <c r="C32" s="11" t="s">
        <v>131</v>
      </c>
      <c r="D32" s="15" t="s">
        <v>41</v>
      </c>
      <c r="E32" s="15" t="s">
        <v>42</v>
      </c>
      <c r="F32" s="15" t="s">
        <v>61</v>
      </c>
      <c r="G32" s="11" t="s">
        <v>132</v>
      </c>
    </row>
    <row r="33" customFormat="false" ht="45.75" hidden="false" customHeight="true" outlineLevel="0" collapsed="false">
      <c r="A33" s="16" t="s">
        <v>123</v>
      </c>
      <c r="B33" s="11" t="s">
        <v>133</v>
      </c>
      <c r="C33" s="11" t="s">
        <v>134</v>
      </c>
      <c r="D33" s="17" t="s">
        <v>41</v>
      </c>
      <c r="E33" s="17" t="s">
        <v>41</v>
      </c>
      <c r="F33" s="17" t="s">
        <v>80</v>
      </c>
      <c r="G33" s="11" t="s">
        <v>135</v>
      </c>
    </row>
    <row r="34" customFormat="false" ht="45.75" hidden="false" customHeight="true" outlineLevel="0" collapsed="false">
      <c r="A34" s="16" t="s">
        <v>123</v>
      </c>
      <c r="B34" s="11" t="s">
        <v>136</v>
      </c>
      <c r="C34" s="11" t="s">
        <v>137</v>
      </c>
      <c r="D34" s="17" t="s">
        <v>41</v>
      </c>
      <c r="E34" s="17" t="s">
        <v>41</v>
      </c>
      <c r="F34" s="17" t="s">
        <v>80</v>
      </c>
      <c r="G34" s="11" t="s">
        <v>138</v>
      </c>
    </row>
    <row r="35" customFormat="false" ht="45.75" hidden="false" customHeight="true" outlineLevel="0" collapsed="false">
      <c r="A35" s="16" t="s">
        <v>123</v>
      </c>
      <c r="B35" s="11" t="s">
        <v>139</v>
      </c>
      <c r="C35" s="11" t="s">
        <v>140</v>
      </c>
      <c r="D35" s="17" t="s">
        <v>41</v>
      </c>
      <c r="E35" s="17" t="s">
        <v>41</v>
      </c>
      <c r="F35" s="17" t="s">
        <v>80</v>
      </c>
      <c r="G35" s="11" t="s">
        <v>141</v>
      </c>
    </row>
    <row r="36" customFormat="false" ht="45.75" hidden="false" customHeight="true" outlineLevel="0" collapsed="false">
      <c r="A36" s="16" t="s">
        <v>123</v>
      </c>
      <c r="B36" s="11" t="s">
        <v>142</v>
      </c>
      <c r="C36" s="11" t="s">
        <v>143</v>
      </c>
      <c r="D36" s="17" t="s">
        <v>41</v>
      </c>
      <c r="E36" s="17" t="s">
        <v>41</v>
      </c>
      <c r="F36" s="17" t="s">
        <v>80</v>
      </c>
      <c r="G36" s="11" t="s">
        <v>144</v>
      </c>
    </row>
    <row r="37" customFormat="false" ht="45.75" hidden="false" customHeight="true" outlineLevel="0" collapsed="false">
      <c r="A37" s="19" t="s">
        <v>123</v>
      </c>
      <c r="B37" s="11" t="s">
        <v>145</v>
      </c>
      <c r="C37" s="11" t="s">
        <v>146</v>
      </c>
      <c r="D37" s="20" t="s">
        <v>42</v>
      </c>
      <c r="E37" s="20" t="s">
        <v>41</v>
      </c>
      <c r="F37" s="20" t="s">
        <v>13</v>
      </c>
      <c r="G37" s="11" t="s">
        <v>147</v>
      </c>
    </row>
    <row r="38" customFormat="false" ht="45.75" hidden="false" customHeight="true" outlineLevel="0" collapsed="false">
      <c r="A38" s="21" t="s">
        <v>123</v>
      </c>
      <c r="B38" s="11" t="s">
        <v>148</v>
      </c>
      <c r="C38" s="11" t="s">
        <v>149</v>
      </c>
      <c r="D38" s="22" t="s">
        <v>42</v>
      </c>
      <c r="E38" s="22" t="s">
        <v>41</v>
      </c>
      <c r="F38" s="22" t="s">
        <v>150</v>
      </c>
      <c r="G38" s="11" t="s">
        <v>151</v>
      </c>
    </row>
    <row r="39" customFormat="false" ht="45.75" hidden="false" customHeight="true" outlineLevel="0" collapsed="false">
      <c r="A39" s="13" t="s">
        <v>123</v>
      </c>
      <c r="B39" s="11" t="s">
        <v>152</v>
      </c>
      <c r="C39" s="11" t="s">
        <v>153</v>
      </c>
      <c r="D39" s="12" t="s">
        <v>41</v>
      </c>
      <c r="E39" s="12" t="s">
        <v>42</v>
      </c>
      <c r="F39" s="12" t="s">
        <v>12</v>
      </c>
      <c r="G39" s="11" t="s">
        <v>154</v>
      </c>
    </row>
    <row r="40" customFormat="false" ht="45.75" hidden="false" customHeight="true" outlineLevel="0" collapsed="false">
      <c r="A40" s="21" t="s">
        <v>123</v>
      </c>
      <c r="B40" s="11" t="s">
        <v>155</v>
      </c>
      <c r="C40" s="11" t="s">
        <v>156</v>
      </c>
      <c r="D40" s="22" t="s">
        <v>42</v>
      </c>
      <c r="E40" s="22" t="s">
        <v>41</v>
      </c>
      <c r="F40" s="22" t="s">
        <v>150</v>
      </c>
      <c r="G40" s="11" t="s">
        <v>157</v>
      </c>
    </row>
    <row r="41" customFormat="false" ht="45.75" hidden="false" customHeight="true" outlineLevel="0" collapsed="false">
      <c r="A41" s="14" t="s">
        <v>123</v>
      </c>
      <c r="B41" s="11" t="s">
        <v>158</v>
      </c>
      <c r="C41" s="11" t="s">
        <v>159</v>
      </c>
      <c r="D41" s="15" t="s">
        <v>41</v>
      </c>
      <c r="E41" s="15" t="s">
        <v>42</v>
      </c>
      <c r="F41" s="15" t="s">
        <v>61</v>
      </c>
      <c r="G41" s="11" t="s">
        <v>160</v>
      </c>
    </row>
    <row r="42" customFormat="false" ht="45.75" hidden="false" customHeight="true" outlineLevel="0" collapsed="false">
      <c r="A42" s="21" t="s">
        <v>123</v>
      </c>
      <c r="B42" s="11" t="s">
        <v>161</v>
      </c>
      <c r="C42" s="11" t="s">
        <v>162</v>
      </c>
      <c r="D42" s="22" t="s">
        <v>112</v>
      </c>
      <c r="E42" s="22" t="s">
        <v>41</v>
      </c>
      <c r="F42" s="22" t="s">
        <v>150</v>
      </c>
      <c r="G42" s="11" t="s">
        <v>163</v>
      </c>
    </row>
    <row r="43" customFormat="false" ht="45.75" hidden="false" customHeight="true" outlineLevel="0" collapsed="false">
      <c r="A43" s="23" t="s">
        <v>164</v>
      </c>
      <c r="B43" s="11" t="s">
        <v>165</v>
      </c>
      <c r="C43" s="11" t="s">
        <v>166</v>
      </c>
      <c r="D43" s="17" t="s">
        <v>41</v>
      </c>
      <c r="E43" s="17" t="s">
        <v>41</v>
      </c>
      <c r="F43" s="17" t="s">
        <v>80</v>
      </c>
      <c r="G43" s="11" t="s">
        <v>167</v>
      </c>
    </row>
    <row r="44" customFormat="false" ht="45.75" hidden="false" customHeight="true" outlineLevel="0" collapsed="false">
      <c r="A44" s="16" t="s">
        <v>164</v>
      </c>
      <c r="B44" s="11" t="s">
        <v>168</v>
      </c>
      <c r="C44" s="11" t="s">
        <v>169</v>
      </c>
      <c r="D44" s="17" t="s">
        <v>41</v>
      </c>
      <c r="E44" s="17" t="s">
        <v>41</v>
      </c>
      <c r="F44" s="17" t="s">
        <v>80</v>
      </c>
      <c r="G44" s="11" t="s">
        <v>170</v>
      </c>
    </row>
    <row r="45" customFormat="false" ht="45.75" hidden="false" customHeight="true" outlineLevel="0" collapsed="false">
      <c r="A45" s="16" t="s">
        <v>164</v>
      </c>
      <c r="B45" s="11" t="s">
        <v>171</v>
      </c>
      <c r="C45" s="11" t="s">
        <v>172</v>
      </c>
      <c r="D45" s="17" t="s">
        <v>41</v>
      </c>
      <c r="E45" s="17" t="s">
        <v>41</v>
      </c>
      <c r="F45" s="17" t="s">
        <v>80</v>
      </c>
      <c r="G45" s="11" t="s">
        <v>173</v>
      </c>
    </row>
    <row r="46" customFormat="false" ht="45.75" hidden="false" customHeight="true" outlineLevel="0" collapsed="false">
      <c r="A46" s="14" t="s">
        <v>164</v>
      </c>
      <c r="B46" s="11" t="s">
        <v>174</v>
      </c>
      <c r="C46" s="11" t="s">
        <v>175</v>
      </c>
      <c r="D46" s="15" t="s">
        <v>41</v>
      </c>
      <c r="E46" s="15" t="s">
        <v>42</v>
      </c>
      <c r="F46" s="15" t="s">
        <v>61</v>
      </c>
      <c r="G46" s="11" t="s">
        <v>176</v>
      </c>
    </row>
    <row r="47" customFormat="false" ht="45.75" hidden="false" customHeight="true" outlineLevel="0" collapsed="false">
      <c r="A47" s="14" t="s">
        <v>164</v>
      </c>
      <c r="B47" s="11" t="s">
        <v>177</v>
      </c>
      <c r="C47" s="11" t="s">
        <v>178</v>
      </c>
      <c r="D47" s="15" t="s">
        <v>41</v>
      </c>
      <c r="E47" s="15" t="s">
        <v>42</v>
      </c>
      <c r="F47" s="15" t="s">
        <v>61</v>
      </c>
      <c r="G47" s="11" t="s">
        <v>179</v>
      </c>
    </row>
    <row r="48" customFormat="false" ht="45.75" hidden="false" customHeight="true" outlineLevel="0" collapsed="false">
      <c r="A48" s="16" t="s">
        <v>164</v>
      </c>
      <c r="B48" s="11" t="s">
        <v>180</v>
      </c>
      <c r="C48" s="11" t="s">
        <v>181</v>
      </c>
      <c r="D48" s="17" t="s">
        <v>41</v>
      </c>
      <c r="E48" s="17" t="s">
        <v>41</v>
      </c>
      <c r="F48" s="17" t="s">
        <v>80</v>
      </c>
      <c r="G48" s="11" t="s">
        <v>182</v>
      </c>
    </row>
    <row r="49" customFormat="false" ht="45.75" hidden="false" customHeight="true" outlineLevel="0" collapsed="false">
      <c r="A49" s="16" t="s">
        <v>164</v>
      </c>
      <c r="B49" s="11" t="s">
        <v>183</v>
      </c>
      <c r="C49" s="11" t="s">
        <v>184</v>
      </c>
      <c r="D49" s="17" t="s">
        <v>185</v>
      </c>
      <c r="E49" s="17" t="s">
        <v>42</v>
      </c>
      <c r="F49" s="17" t="s">
        <v>186</v>
      </c>
      <c r="G49" s="11" t="s">
        <v>187</v>
      </c>
    </row>
    <row r="50" customFormat="false" ht="45.75" hidden="false" customHeight="true" outlineLevel="0" collapsed="false">
      <c r="A50" s="13" t="s">
        <v>164</v>
      </c>
      <c r="B50" s="11" t="s">
        <v>188</v>
      </c>
      <c r="C50" s="11" t="s">
        <v>189</v>
      </c>
      <c r="D50" s="12" t="s">
        <v>41</v>
      </c>
      <c r="E50" s="12" t="s">
        <v>42</v>
      </c>
      <c r="F50" s="12" t="s">
        <v>12</v>
      </c>
      <c r="G50" s="11" t="s">
        <v>190</v>
      </c>
    </row>
    <row r="51" customFormat="false" ht="45.75" hidden="false" customHeight="true" outlineLevel="0" collapsed="false">
      <c r="A51" s="16" t="s">
        <v>164</v>
      </c>
      <c r="B51" s="11" t="s">
        <v>191</v>
      </c>
      <c r="C51" s="11" t="s">
        <v>192</v>
      </c>
      <c r="D51" s="17" t="s">
        <v>41</v>
      </c>
      <c r="E51" s="17" t="s">
        <v>41</v>
      </c>
      <c r="F51" s="17" t="s">
        <v>80</v>
      </c>
      <c r="G51" s="11" t="s">
        <v>193</v>
      </c>
    </row>
    <row r="52" customFormat="false" ht="45.75" hidden="false" customHeight="true" outlineLevel="0" collapsed="false">
      <c r="A52" s="16" t="s">
        <v>164</v>
      </c>
      <c r="B52" s="11" t="s">
        <v>194</v>
      </c>
      <c r="C52" s="11" t="s">
        <v>195</v>
      </c>
      <c r="D52" s="17" t="s">
        <v>41</v>
      </c>
      <c r="E52" s="17" t="s">
        <v>41</v>
      </c>
      <c r="F52" s="17" t="s">
        <v>80</v>
      </c>
      <c r="G52" s="11" t="s">
        <v>196</v>
      </c>
    </row>
    <row r="53" customFormat="false" ht="45.75" hidden="false" customHeight="true" outlineLevel="0" collapsed="false">
      <c r="A53" s="21" t="s">
        <v>164</v>
      </c>
      <c r="B53" s="11" t="s">
        <v>197</v>
      </c>
      <c r="C53" s="11" t="s">
        <v>198</v>
      </c>
      <c r="D53" s="22" t="s">
        <v>42</v>
      </c>
      <c r="E53" s="22" t="s">
        <v>41</v>
      </c>
      <c r="F53" s="22" t="s">
        <v>150</v>
      </c>
      <c r="G53" s="11" t="s">
        <v>199</v>
      </c>
    </row>
    <row r="54" customFormat="false" ht="45.75" hidden="false" customHeight="true" outlineLevel="0" collapsed="false">
      <c r="A54" s="21" t="s">
        <v>164</v>
      </c>
      <c r="B54" s="11" t="s">
        <v>200</v>
      </c>
      <c r="C54" s="11" t="s">
        <v>201</v>
      </c>
      <c r="D54" s="22" t="s">
        <v>42</v>
      </c>
      <c r="E54" s="22" t="s">
        <v>41</v>
      </c>
      <c r="F54" s="22" t="s">
        <v>150</v>
      </c>
      <c r="G54" s="11" t="s">
        <v>202</v>
      </c>
    </row>
    <row r="55" customFormat="false" ht="45.75" hidden="false" customHeight="true" outlineLevel="0" collapsed="false">
      <c r="A55" s="21" t="s">
        <v>164</v>
      </c>
      <c r="B55" s="11" t="s">
        <v>203</v>
      </c>
      <c r="C55" s="11" t="s">
        <v>204</v>
      </c>
      <c r="D55" s="22" t="s">
        <v>42</v>
      </c>
      <c r="E55" s="22" t="s">
        <v>41</v>
      </c>
      <c r="F55" s="22" t="s">
        <v>150</v>
      </c>
      <c r="G55" s="11" t="s">
        <v>205</v>
      </c>
    </row>
    <row r="56" customFormat="false" ht="45.75" hidden="false" customHeight="true" outlineLevel="0" collapsed="false">
      <c r="A56" s="23" t="s">
        <v>206</v>
      </c>
      <c r="B56" s="11" t="s">
        <v>207</v>
      </c>
      <c r="C56" s="11" t="s">
        <v>208</v>
      </c>
      <c r="D56" s="17" t="s">
        <v>41</v>
      </c>
      <c r="E56" s="17" t="s">
        <v>41</v>
      </c>
      <c r="F56" s="17" t="s">
        <v>80</v>
      </c>
      <c r="G56" s="11" t="s">
        <v>209</v>
      </c>
    </row>
    <row r="57" customFormat="false" ht="45.75" hidden="false" customHeight="true" outlineLevel="0" collapsed="false">
      <c r="A57" s="13" t="s">
        <v>206</v>
      </c>
      <c r="B57" s="11" t="s">
        <v>210</v>
      </c>
      <c r="C57" s="11" t="s">
        <v>211</v>
      </c>
      <c r="D57" s="12" t="s">
        <v>41</v>
      </c>
      <c r="E57" s="12" t="s">
        <v>42</v>
      </c>
      <c r="F57" s="12" t="s">
        <v>12</v>
      </c>
      <c r="G57" s="11" t="s">
        <v>212</v>
      </c>
    </row>
    <row r="58" customFormat="false" ht="45.75" hidden="false" customHeight="true" outlineLevel="0" collapsed="false">
      <c r="A58" s="13" t="s">
        <v>206</v>
      </c>
      <c r="B58" s="11" t="s">
        <v>213</v>
      </c>
      <c r="C58" s="11" t="s">
        <v>214</v>
      </c>
      <c r="D58" s="12" t="s">
        <v>41</v>
      </c>
      <c r="E58" s="12" t="s">
        <v>42</v>
      </c>
      <c r="F58" s="12" t="s">
        <v>12</v>
      </c>
      <c r="G58" s="11" t="s">
        <v>215</v>
      </c>
    </row>
    <row r="59" customFormat="false" ht="45.75" hidden="false" customHeight="true" outlineLevel="0" collapsed="false">
      <c r="A59" s="14" t="s">
        <v>206</v>
      </c>
      <c r="B59" s="11" t="s">
        <v>216</v>
      </c>
      <c r="C59" s="11" t="s">
        <v>217</v>
      </c>
      <c r="D59" s="15" t="s">
        <v>41</v>
      </c>
      <c r="E59" s="15" t="s">
        <v>42</v>
      </c>
      <c r="F59" s="15" t="s">
        <v>61</v>
      </c>
      <c r="G59" s="11" t="s">
        <v>218</v>
      </c>
    </row>
    <row r="60" customFormat="false" ht="45.75" hidden="false" customHeight="true" outlineLevel="0" collapsed="false">
      <c r="A60" s="13" t="s">
        <v>206</v>
      </c>
      <c r="B60" s="11" t="s">
        <v>219</v>
      </c>
      <c r="C60" s="11" t="s">
        <v>220</v>
      </c>
      <c r="D60" s="12" t="s">
        <v>41</v>
      </c>
      <c r="E60" s="12" t="s">
        <v>42</v>
      </c>
      <c r="F60" s="12" t="s">
        <v>12</v>
      </c>
      <c r="G60" s="11" t="s">
        <v>221</v>
      </c>
    </row>
    <row r="61" customFormat="false" ht="45.75" hidden="false" customHeight="true" outlineLevel="0" collapsed="false">
      <c r="A61" s="21" t="s">
        <v>206</v>
      </c>
      <c r="B61" s="11" t="s">
        <v>222</v>
      </c>
      <c r="C61" s="11" t="s">
        <v>223</v>
      </c>
      <c r="D61" s="22" t="s">
        <v>42</v>
      </c>
      <c r="E61" s="22" t="s">
        <v>41</v>
      </c>
      <c r="F61" s="22" t="s">
        <v>150</v>
      </c>
      <c r="G61" s="11" t="s">
        <v>224</v>
      </c>
    </row>
    <row r="62" customFormat="false" ht="45.75" hidden="false" customHeight="true" outlineLevel="0" collapsed="false">
      <c r="A62" s="16" t="s">
        <v>206</v>
      </c>
      <c r="B62" s="11" t="s">
        <v>225</v>
      </c>
      <c r="C62" s="11" t="s">
        <v>226</v>
      </c>
      <c r="D62" s="17" t="s">
        <v>41</v>
      </c>
      <c r="E62" s="17" t="s">
        <v>41</v>
      </c>
      <c r="F62" s="17" t="s">
        <v>80</v>
      </c>
      <c r="G62" s="11" t="s">
        <v>227</v>
      </c>
    </row>
    <row r="63" customFormat="false" ht="45.75" hidden="false" customHeight="true" outlineLevel="0" collapsed="false">
      <c r="A63" s="23" t="s">
        <v>228</v>
      </c>
      <c r="B63" s="11" t="s">
        <v>229</v>
      </c>
      <c r="C63" s="11" t="s">
        <v>230</v>
      </c>
      <c r="D63" s="17" t="s">
        <v>41</v>
      </c>
      <c r="E63" s="17" t="s">
        <v>41</v>
      </c>
      <c r="F63" s="17" t="s">
        <v>80</v>
      </c>
      <c r="G63" s="11" t="s">
        <v>231</v>
      </c>
    </row>
    <row r="64" customFormat="false" ht="45.75" hidden="false" customHeight="true" outlineLevel="0" collapsed="false">
      <c r="A64" s="16" t="s">
        <v>228</v>
      </c>
      <c r="B64" s="11" t="s">
        <v>232</v>
      </c>
      <c r="C64" s="11" t="s">
        <v>233</v>
      </c>
      <c r="D64" s="17" t="s">
        <v>41</v>
      </c>
      <c r="E64" s="17" t="s">
        <v>41</v>
      </c>
      <c r="F64" s="17" t="s">
        <v>80</v>
      </c>
      <c r="G64" s="11" t="s">
        <v>234</v>
      </c>
    </row>
    <row r="65" customFormat="false" ht="45.75" hidden="false" customHeight="true" outlineLevel="0" collapsed="false">
      <c r="A65" s="16" t="s">
        <v>228</v>
      </c>
      <c r="B65" s="11" t="s">
        <v>235</v>
      </c>
      <c r="C65" s="11" t="s">
        <v>236</v>
      </c>
      <c r="D65" s="17" t="s">
        <v>41</v>
      </c>
      <c r="E65" s="17" t="s">
        <v>41</v>
      </c>
      <c r="F65" s="17" t="s">
        <v>80</v>
      </c>
      <c r="G65" s="11" t="s">
        <v>237</v>
      </c>
    </row>
    <row r="66" customFormat="false" ht="45.75" hidden="false" customHeight="true" outlineLevel="0" collapsed="false">
      <c r="A66" s="16" t="s">
        <v>228</v>
      </c>
      <c r="B66" s="11" t="s">
        <v>238</v>
      </c>
      <c r="C66" s="11" t="s">
        <v>239</v>
      </c>
      <c r="D66" s="17" t="s">
        <v>41</v>
      </c>
      <c r="E66" s="17" t="s">
        <v>41</v>
      </c>
      <c r="F66" s="17" t="s">
        <v>80</v>
      </c>
      <c r="G66" s="11" t="s">
        <v>240</v>
      </c>
    </row>
    <row r="67" customFormat="false" ht="45.75" hidden="false" customHeight="true" outlineLevel="0" collapsed="false">
      <c r="A67" s="16" t="s">
        <v>228</v>
      </c>
      <c r="B67" s="11" t="s">
        <v>241</v>
      </c>
      <c r="C67" s="11" t="s">
        <v>242</v>
      </c>
      <c r="D67" s="17" t="s">
        <v>41</v>
      </c>
      <c r="E67" s="17" t="s">
        <v>41</v>
      </c>
      <c r="F67" s="17" t="s">
        <v>80</v>
      </c>
      <c r="G67" s="11" t="s">
        <v>237</v>
      </c>
    </row>
    <row r="68" customFormat="false" ht="45.75" hidden="false" customHeight="true" outlineLevel="0" collapsed="false">
      <c r="A68" s="21" t="s">
        <v>228</v>
      </c>
      <c r="B68" s="11" t="s">
        <v>243</v>
      </c>
      <c r="C68" s="11" t="s">
        <v>244</v>
      </c>
      <c r="D68" s="22" t="s">
        <v>42</v>
      </c>
      <c r="E68" s="22" t="s">
        <v>41</v>
      </c>
      <c r="F68" s="22" t="s">
        <v>150</v>
      </c>
      <c r="G68" s="11" t="s">
        <v>245</v>
      </c>
    </row>
    <row r="69" customFormat="false" ht="45.75" hidden="false" customHeight="true" outlineLevel="0" collapsed="false">
      <c r="A69" s="16" t="s">
        <v>228</v>
      </c>
      <c r="B69" s="11" t="s">
        <v>246</v>
      </c>
      <c r="C69" s="11" t="s">
        <v>247</v>
      </c>
      <c r="D69" s="17" t="s">
        <v>41</v>
      </c>
      <c r="E69" s="17" t="s">
        <v>41</v>
      </c>
      <c r="F69" s="17" t="s">
        <v>80</v>
      </c>
      <c r="G69" s="11" t="s">
        <v>248</v>
      </c>
    </row>
    <row r="70" customFormat="false" ht="45.75" hidden="false" customHeight="true" outlineLevel="0" collapsed="false">
      <c r="A70" s="21" t="s">
        <v>228</v>
      </c>
      <c r="B70" s="11" t="s">
        <v>249</v>
      </c>
      <c r="C70" s="11" t="s">
        <v>250</v>
      </c>
      <c r="D70" s="22" t="s">
        <v>42</v>
      </c>
      <c r="E70" s="22" t="s">
        <v>41</v>
      </c>
      <c r="F70" s="22" t="s">
        <v>150</v>
      </c>
      <c r="G70" s="11" t="s">
        <v>251</v>
      </c>
    </row>
    <row r="71" customFormat="false" ht="45.75" hidden="false" customHeight="true" outlineLevel="0" collapsed="false">
      <c r="A71" s="21" t="s">
        <v>228</v>
      </c>
      <c r="B71" s="11" t="s">
        <v>252</v>
      </c>
      <c r="C71" s="11" t="s">
        <v>253</v>
      </c>
      <c r="D71" s="22" t="s">
        <v>42</v>
      </c>
      <c r="E71" s="22" t="s">
        <v>41</v>
      </c>
      <c r="F71" s="22" t="s">
        <v>150</v>
      </c>
      <c r="G71" s="11" t="s">
        <v>254</v>
      </c>
    </row>
    <row r="72" customFormat="false" ht="45.75" hidden="false" customHeight="true" outlineLevel="0" collapsed="false">
      <c r="A72" s="16" t="s">
        <v>228</v>
      </c>
      <c r="B72" s="11" t="s">
        <v>255</v>
      </c>
      <c r="C72" s="11" t="s">
        <v>256</v>
      </c>
      <c r="D72" s="17" t="s">
        <v>41</v>
      </c>
      <c r="E72" s="17" t="s">
        <v>41</v>
      </c>
      <c r="F72" s="17" t="s">
        <v>80</v>
      </c>
      <c r="G72" s="11" t="s">
        <v>257</v>
      </c>
    </row>
    <row r="73" customFormat="false" ht="45.75" hidden="false" customHeight="true" outlineLevel="0" collapsed="false">
      <c r="A73" s="23" t="s">
        <v>258</v>
      </c>
      <c r="B73" s="11" t="s">
        <v>259</v>
      </c>
      <c r="C73" s="11" t="s">
        <v>260</v>
      </c>
      <c r="D73" s="17" t="s">
        <v>41</v>
      </c>
      <c r="E73" s="17" t="s">
        <v>41</v>
      </c>
      <c r="F73" s="17" t="s">
        <v>80</v>
      </c>
      <c r="G73" s="11" t="s">
        <v>261</v>
      </c>
    </row>
    <row r="74" customFormat="false" ht="45.75" hidden="false" customHeight="true" outlineLevel="0" collapsed="false">
      <c r="A74" s="16" t="s">
        <v>258</v>
      </c>
      <c r="B74" s="11" t="s">
        <v>262</v>
      </c>
      <c r="C74" s="11" t="s">
        <v>263</v>
      </c>
      <c r="D74" s="17" t="s">
        <v>41</v>
      </c>
      <c r="E74" s="17" t="s">
        <v>41</v>
      </c>
      <c r="F74" s="17" t="s">
        <v>80</v>
      </c>
      <c r="G74" s="11" t="s">
        <v>264</v>
      </c>
    </row>
    <row r="75" customFormat="false" ht="45.75" hidden="false" customHeight="true" outlineLevel="0" collapsed="false">
      <c r="A75" s="16" t="s">
        <v>258</v>
      </c>
      <c r="B75" s="11" t="s">
        <v>265</v>
      </c>
      <c r="C75" s="11" t="s">
        <v>266</v>
      </c>
      <c r="D75" s="17" t="s">
        <v>41</v>
      </c>
      <c r="E75" s="17" t="s">
        <v>41</v>
      </c>
      <c r="F75" s="17" t="s">
        <v>80</v>
      </c>
      <c r="G75" s="11" t="s">
        <v>267</v>
      </c>
    </row>
    <row r="76" customFormat="false" ht="45.75" hidden="false" customHeight="true" outlineLevel="0" collapsed="false">
      <c r="A76" s="16" t="s">
        <v>258</v>
      </c>
      <c r="B76" s="11" t="s">
        <v>268</v>
      </c>
      <c r="C76" s="11" t="s">
        <v>269</v>
      </c>
      <c r="D76" s="17" t="s">
        <v>41</v>
      </c>
      <c r="E76" s="17" t="s">
        <v>41</v>
      </c>
      <c r="F76" s="17" t="s">
        <v>80</v>
      </c>
      <c r="G76" s="11" t="s">
        <v>270</v>
      </c>
    </row>
    <row r="77" customFormat="false" ht="45.75" hidden="false" customHeight="true" outlineLevel="0" collapsed="false">
      <c r="A77" s="11" t="s">
        <v>258</v>
      </c>
      <c r="B77" s="11" t="s">
        <v>271</v>
      </c>
      <c r="C77" s="11" t="s">
        <v>272</v>
      </c>
      <c r="D77" s="24" t="s">
        <v>41</v>
      </c>
      <c r="E77" s="24" t="s">
        <v>273</v>
      </c>
      <c r="F77" s="24" t="s">
        <v>274</v>
      </c>
      <c r="G77" s="11" t="s">
        <v>275</v>
      </c>
    </row>
    <row r="78" customFormat="false" ht="45.75" hidden="false" customHeight="true" outlineLevel="0" collapsed="false">
      <c r="A78" s="21" t="s">
        <v>258</v>
      </c>
      <c r="B78" s="11" t="s">
        <v>276</v>
      </c>
      <c r="C78" s="11" t="s">
        <v>277</v>
      </c>
      <c r="D78" s="22" t="s">
        <v>42</v>
      </c>
      <c r="E78" s="22" t="s">
        <v>41</v>
      </c>
      <c r="F78" s="22" t="s">
        <v>150</v>
      </c>
      <c r="G78" s="11" t="s">
        <v>278</v>
      </c>
    </row>
    <row r="79" customFormat="false" ht="45.75" hidden="false" customHeight="true" outlineLevel="0" collapsed="false">
      <c r="A79" s="11" t="s">
        <v>258</v>
      </c>
      <c r="B79" s="11" t="s">
        <v>279</v>
      </c>
      <c r="C79" s="11" t="s">
        <v>280</v>
      </c>
      <c r="D79" s="24" t="s">
        <v>281</v>
      </c>
      <c r="E79" s="24" t="s">
        <v>42</v>
      </c>
      <c r="F79" s="24" t="s">
        <v>282</v>
      </c>
      <c r="G79" s="11" t="s">
        <v>283</v>
      </c>
    </row>
    <row r="80" customFormat="false" ht="45.75" hidden="false" customHeight="true" outlineLevel="0" collapsed="false">
      <c r="A80" s="23" t="s">
        <v>284</v>
      </c>
      <c r="B80" s="11" t="s">
        <v>285</v>
      </c>
      <c r="C80" s="11" t="s">
        <v>286</v>
      </c>
      <c r="D80" s="17" t="s">
        <v>41</v>
      </c>
      <c r="E80" s="17" t="s">
        <v>41</v>
      </c>
      <c r="F80" s="17" t="s">
        <v>80</v>
      </c>
      <c r="G80" s="11" t="s">
        <v>237</v>
      </c>
    </row>
    <row r="81" customFormat="false" ht="45.75" hidden="false" customHeight="true" outlineLevel="0" collapsed="false">
      <c r="A81" s="14" t="s">
        <v>284</v>
      </c>
      <c r="B81" s="11" t="s">
        <v>287</v>
      </c>
      <c r="C81" s="11" t="s">
        <v>288</v>
      </c>
      <c r="D81" s="15" t="s">
        <v>41</v>
      </c>
      <c r="E81" s="15" t="s">
        <v>42</v>
      </c>
      <c r="F81" s="15" t="s">
        <v>61</v>
      </c>
      <c r="G81" s="11" t="s">
        <v>289</v>
      </c>
    </row>
    <row r="82" customFormat="false" ht="45.75" hidden="false" customHeight="true" outlineLevel="0" collapsed="false">
      <c r="A82" s="13" t="s">
        <v>284</v>
      </c>
      <c r="B82" s="11" t="s">
        <v>290</v>
      </c>
      <c r="C82" s="11" t="s">
        <v>291</v>
      </c>
      <c r="D82" s="12" t="s">
        <v>292</v>
      </c>
      <c r="E82" s="12" t="s">
        <v>42</v>
      </c>
      <c r="F82" s="12" t="s">
        <v>12</v>
      </c>
      <c r="G82" s="11" t="s">
        <v>293</v>
      </c>
    </row>
    <row r="83" customFormat="false" ht="45.75" hidden="false" customHeight="true" outlineLevel="0" collapsed="false">
      <c r="A83" s="16" t="s">
        <v>284</v>
      </c>
      <c r="B83" s="11" t="s">
        <v>294</v>
      </c>
      <c r="C83" s="11" t="s">
        <v>295</v>
      </c>
      <c r="D83" s="17" t="s">
        <v>41</v>
      </c>
      <c r="E83" s="17" t="s">
        <v>41</v>
      </c>
      <c r="F83" s="17" t="s">
        <v>80</v>
      </c>
      <c r="G83" s="11" t="s">
        <v>296</v>
      </c>
    </row>
    <row r="84" customFormat="false" ht="45.75" hidden="false" customHeight="true" outlineLevel="0" collapsed="false">
      <c r="A84" s="21" t="s">
        <v>284</v>
      </c>
      <c r="B84" s="11" t="s">
        <v>297</v>
      </c>
      <c r="C84" s="11" t="s">
        <v>298</v>
      </c>
      <c r="D84" s="22" t="s">
        <v>42</v>
      </c>
      <c r="E84" s="22" t="s">
        <v>41</v>
      </c>
      <c r="F84" s="22" t="s">
        <v>150</v>
      </c>
      <c r="G84" s="11" t="s">
        <v>299</v>
      </c>
    </row>
    <row r="85" customFormat="false" ht="45.75" hidden="false" customHeight="true" outlineLevel="0" collapsed="false">
      <c r="A85" s="10" t="s">
        <v>300</v>
      </c>
      <c r="B85" s="11" t="s">
        <v>301</v>
      </c>
      <c r="C85" s="11" t="s">
        <v>302</v>
      </c>
      <c r="D85" s="12" t="s">
        <v>41</v>
      </c>
      <c r="E85" s="12" t="s">
        <v>42</v>
      </c>
      <c r="F85" s="12" t="s">
        <v>12</v>
      </c>
      <c r="G85" s="11" t="s">
        <v>303</v>
      </c>
    </row>
    <row r="86" customFormat="false" ht="45.75" hidden="false" customHeight="true" outlineLevel="0" collapsed="false">
      <c r="A86" s="14" t="s">
        <v>300</v>
      </c>
      <c r="B86" s="11" t="s">
        <v>304</v>
      </c>
      <c r="C86" s="11" t="s">
        <v>305</v>
      </c>
      <c r="D86" s="15" t="s">
        <v>41</v>
      </c>
      <c r="E86" s="15" t="s">
        <v>42</v>
      </c>
      <c r="F86" s="15" t="s">
        <v>61</v>
      </c>
      <c r="G86" s="11" t="s">
        <v>306</v>
      </c>
    </row>
    <row r="87" customFormat="false" ht="45.75" hidden="false" customHeight="true" outlineLevel="0" collapsed="false">
      <c r="A87" s="14" t="s">
        <v>300</v>
      </c>
      <c r="B87" s="11" t="s">
        <v>307</v>
      </c>
      <c r="C87" s="11" t="s">
        <v>308</v>
      </c>
      <c r="D87" s="15" t="s">
        <v>41</v>
      </c>
      <c r="E87" s="15" t="s">
        <v>42</v>
      </c>
      <c r="F87" s="15" t="s">
        <v>61</v>
      </c>
      <c r="G87" s="11" t="s">
        <v>309</v>
      </c>
    </row>
    <row r="88" customFormat="false" ht="45.75" hidden="false" customHeight="true" outlineLevel="0" collapsed="false">
      <c r="A88" s="13" t="s">
        <v>300</v>
      </c>
      <c r="B88" s="11" t="s">
        <v>310</v>
      </c>
      <c r="C88" s="11" t="s">
        <v>311</v>
      </c>
      <c r="D88" s="12" t="s">
        <v>41</v>
      </c>
      <c r="E88" s="12" t="s">
        <v>42</v>
      </c>
      <c r="F88" s="12" t="s">
        <v>12</v>
      </c>
      <c r="G88" s="11" t="s">
        <v>312</v>
      </c>
    </row>
    <row r="89" customFormat="false" ht="45.75" hidden="false" customHeight="true" outlineLevel="0" collapsed="false">
      <c r="A89" s="11" t="s">
        <v>300</v>
      </c>
      <c r="B89" s="11" t="s">
        <v>313</v>
      </c>
      <c r="C89" s="11" t="s">
        <v>314</v>
      </c>
      <c r="D89" s="24" t="s">
        <v>315</v>
      </c>
      <c r="E89" s="24" t="s">
        <v>273</v>
      </c>
      <c r="F89" s="24" t="s">
        <v>316</v>
      </c>
      <c r="G89" s="11" t="s">
        <v>317</v>
      </c>
    </row>
    <row r="90" customFormat="false" ht="45.75" hidden="false" customHeight="true" outlineLevel="0" collapsed="false">
      <c r="A90" s="25" t="s">
        <v>318</v>
      </c>
      <c r="B90" s="11" t="s">
        <v>319</v>
      </c>
      <c r="C90" s="11" t="s">
        <v>320</v>
      </c>
      <c r="D90" s="24" t="s">
        <v>41</v>
      </c>
      <c r="E90" s="24" t="s">
        <v>273</v>
      </c>
      <c r="F90" s="24" t="s">
        <v>274</v>
      </c>
      <c r="G90" s="11" t="s">
        <v>321</v>
      </c>
    </row>
    <row r="91" customFormat="false" ht="45.75" hidden="false" customHeight="true" outlineLevel="0" collapsed="false">
      <c r="A91" s="16" t="s">
        <v>318</v>
      </c>
      <c r="B91" s="11" t="s">
        <v>322</v>
      </c>
      <c r="C91" s="11" t="s">
        <v>323</v>
      </c>
      <c r="D91" s="17" t="s">
        <v>41</v>
      </c>
      <c r="E91" s="17" t="s">
        <v>41</v>
      </c>
      <c r="F91" s="17" t="s">
        <v>80</v>
      </c>
      <c r="G91" s="11" t="s">
        <v>324</v>
      </c>
    </row>
    <row r="92" customFormat="false" ht="45.75" hidden="false" customHeight="true" outlineLevel="0" collapsed="false">
      <c r="A92" s="23" t="s">
        <v>325</v>
      </c>
      <c r="B92" s="11" t="s">
        <v>326</v>
      </c>
      <c r="C92" s="11" t="s">
        <v>327</v>
      </c>
      <c r="D92" s="17" t="s">
        <v>41</v>
      </c>
      <c r="E92" s="17" t="s">
        <v>41</v>
      </c>
      <c r="F92" s="17" t="s">
        <v>80</v>
      </c>
      <c r="G92" s="11" t="s">
        <v>328</v>
      </c>
    </row>
    <row r="93" customFormat="false" ht="45.75" hidden="false" customHeight="true" outlineLevel="0" collapsed="false">
      <c r="A93" s="16" t="s">
        <v>325</v>
      </c>
      <c r="B93" s="11" t="s">
        <v>329</v>
      </c>
      <c r="C93" s="11" t="s">
        <v>330</v>
      </c>
      <c r="D93" s="17" t="s">
        <v>41</v>
      </c>
      <c r="E93" s="17" t="s">
        <v>41</v>
      </c>
      <c r="F93" s="17" t="s">
        <v>80</v>
      </c>
      <c r="G93" s="11" t="s">
        <v>331</v>
      </c>
    </row>
    <row r="94" customFormat="false" ht="45.75" hidden="false" customHeight="true" outlineLevel="0" collapsed="false">
      <c r="A94" s="16" t="s">
        <v>325</v>
      </c>
      <c r="B94" s="11" t="s">
        <v>332</v>
      </c>
      <c r="C94" s="11" t="s">
        <v>333</v>
      </c>
      <c r="D94" s="17" t="s">
        <v>41</v>
      </c>
      <c r="E94" s="17" t="s">
        <v>41</v>
      </c>
      <c r="F94" s="17" t="s">
        <v>80</v>
      </c>
      <c r="G94" s="11" t="s">
        <v>334</v>
      </c>
    </row>
    <row r="95" customFormat="false" ht="45.75" hidden="false" customHeight="true" outlineLevel="0" collapsed="false">
      <c r="A95" s="21" t="s">
        <v>325</v>
      </c>
      <c r="B95" s="11" t="s">
        <v>335</v>
      </c>
      <c r="C95" s="11" t="s">
        <v>336</v>
      </c>
      <c r="D95" s="22" t="s">
        <v>42</v>
      </c>
      <c r="E95" s="22" t="s">
        <v>41</v>
      </c>
      <c r="F95" s="22" t="s">
        <v>150</v>
      </c>
      <c r="G95" s="11" t="s">
        <v>337</v>
      </c>
    </row>
    <row r="96" customFormat="false" ht="45.75" hidden="false" customHeight="true" outlineLevel="0" collapsed="false">
      <c r="A96" s="10" t="s">
        <v>38</v>
      </c>
      <c r="B96" s="11" t="s">
        <v>338</v>
      </c>
      <c r="C96" s="11" t="s">
        <v>339</v>
      </c>
      <c r="D96" s="12" t="s">
        <v>41</v>
      </c>
      <c r="E96" s="12" t="s">
        <v>42</v>
      </c>
      <c r="F96" s="12" t="s">
        <v>12</v>
      </c>
      <c r="G96" s="11" t="s">
        <v>340</v>
      </c>
    </row>
    <row r="97" customFormat="false" ht="45.75" hidden="false" customHeight="true" outlineLevel="0" collapsed="false">
      <c r="A97" s="13" t="s">
        <v>38</v>
      </c>
      <c r="B97" s="11" t="s">
        <v>341</v>
      </c>
      <c r="C97" s="11" t="s">
        <v>342</v>
      </c>
      <c r="D97" s="12" t="s">
        <v>41</v>
      </c>
      <c r="E97" s="12" t="s">
        <v>42</v>
      </c>
      <c r="F97" s="12" t="s">
        <v>12</v>
      </c>
      <c r="G97" s="11" t="s">
        <v>343</v>
      </c>
    </row>
    <row r="98" customFormat="false" ht="45.75" hidden="false" customHeight="true" outlineLevel="0" collapsed="false">
      <c r="A98" s="13" t="s">
        <v>38</v>
      </c>
      <c r="B98" s="11" t="s">
        <v>344</v>
      </c>
      <c r="C98" s="11" t="s">
        <v>345</v>
      </c>
      <c r="D98" s="12" t="s">
        <v>41</v>
      </c>
      <c r="E98" s="12" t="s">
        <v>42</v>
      </c>
      <c r="F98" s="12" t="s">
        <v>12</v>
      </c>
      <c r="G98" s="11" t="s">
        <v>346</v>
      </c>
    </row>
    <row r="99" customFormat="false" ht="45.75" hidden="false" customHeight="true" outlineLevel="0" collapsed="false">
      <c r="A99" s="13" t="s">
        <v>38</v>
      </c>
      <c r="B99" s="11" t="s">
        <v>347</v>
      </c>
      <c r="C99" s="11" t="s">
        <v>348</v>
      </c>
      <c r="D99" s="12" t="s">
        <v>41</v>
      </c>
      <c r="E99" s="12" t="s">
        <v>42</v>
      </c>
      <c r="F99" s="12" t="s">
        <v>12</v>
      </c>
      <c r="G99" s="11" t="s">
        <v>349</v>
      </c>
    </row>
    <row r="100" customFormat="false" ht="45.75" hidden="false" customHeight="true" outlineLevel="0" collapsed="false">
      <c r="A100" s="13" t="s">
        <v>38</v>
      </c>
      <c r="B100" s="11" t="s">
        <v>350</v>
      </c>
      <c r="C100" s="11" t="s">
        <v>351</v>
      </c>
      <c r="D100" s="12" t="s">
        <v>41</v>
      </c>
      <c r="E100" s="12" t="s">
        <v>42</v>
      </c>
      <c r="F100" s="12" t="s">
        <v>12</v>
      </c>
      <c r="G100" s="11" t="s">
        <v>352</v>
      </c>
    </row>
    <row r="101" customFormat="false" ht="45.75" hidden="false" customHeight="true" outlineLevel="0" collapsed="false">
      <c r="A101" s="14" t="s">
        <v>38</v>
      </c>
      <c r="B101" s="11" t="s">
        <v>353</v>
      </c>
      <c r="C101" s="11" t="s">
        <v>354</v>
      </c>
      <c r="D101" s="15" t="s">
        <v>41</v>
      </c>
      <c r="E101" s="15" t="s">
        <v>42</v>
      </c>
      <c r="F101" s="15" t="s">
        <v>61</v>
      </c>
      <c r="G101" s="11" t="s">
        <v>355</v>
      </c>
    </row>
    <row r="102" customFormat="false" ht="45.75" hidden="false" customHeight="true" outlineLevel="0" collapsed="false">
      <c r="A102" s="18" t="s">
        <v>356</v>
      </c>
      <c r="B102" s="11" t="s">
        <v>357</v>
      </c>
      <c r="C102" s="11" t="s">
        <v>358</v>
      </c>
      <c r="D102" s="15" t="s">
        <v>41</v>
      </c>
      <c r="E102" s="15" t="s">
        <v>42</v>
      </c>
      <c r="F102" s="15" t="s">
        <v>61</v>
      </c>
      <c r="G102" s="11" t="s">
        <v>359</v>
      </c>
    </row>
    <row r="103" customFormat="false" ht="45.75" hidden="false" customHeight="true" outlineLevel="0" collapsed="false">
      <c r="A103" s="13" t="s">
        <v>356</v>
      </c>
      <c r="B103" s="11" t="s">
        <v>360</v>
      </c>
      <c r="C103" s="11" t="s">
        <v>361</v>
      </c>
      <c r="D103" s="12" t="s">
        <v>41</v>
      </c>
      <c r="E103" s="12" t="s">
        <v>42</v>
      </c>
      <c r="F103" s="12" t="s">
        <v>12</v>
      </c>
      <c r="G103" s="11" t="s">
        <v>362</v>
      </c>
    </row>
    <row r="104" customFormat="false" ht="45.75" hidden="false" customHeight="true" outlineLevel="0" collapsed="false">
      <c r="A104" s="25" t="s">
        <v>164</v>
      </c>
      <c r="B104" s="11" t="s">
        <v>363</v>
      </c>
      <c r="C104" s="11" t="s">
        <v>364</v>
      </c>
      <c r="D104" s="24" t="s">
        <v>41</v>
      </c>
      <c r="E104" s="24" t="s">
        <v>273</v>
      </c>
      <c r="F104" s="24" t="s">
        <v>274</v>
      </c>
      <c r="G104" s="11" t="s">
        <v>365</v>
      </c>
    </row>
    <row r="105" customFormat="false" ht="45.75" hidden="false" customHeight="true" outlineLevel="0" collapsed="false">
      <c r="A105" s="11" t="s">
        <v>164</v>
      </c>
      <c r="B105" s="11" t="s">
        <v>366</v>
      </c>
      <c r="C105" s="11" t="s">
        <v>367</v>
      </c>
      <c r="D105" s="24" t="s">
        <v>41</v>
      </c>
      <c r="E105" s="24" t="s">
        <v>273</v>
      </c>
      <c r="F105" s="24" t="s">
        <v>274</v>
      </c>
      <c r="G105" s="11" t="s">
        <v>368</v>
      </c>
    </row>
    <row r="106" customFormat="false" ht="45.75" hidden="false" customHeight="true" outlineLevel="0" collapsed="false">
      <c r="A106" s="11" t="s">
        <v>164</v>
      </c>
      <c r="B106" s="11" t="s">
        <v>369</v>
      </c>
      <c r="C106" s="11" t="s">
        <v>370</v>
      </c>
      <c r="D106" s="24" t="s">
        <v>41</v>
      </c>
      <c r="E106" s="24" t="s">
        <v>273</v>
      </c>
      <c r="F106" s="24" t="s">
        <v>274</v>
      </c>
      <c r="G106" s="11" t="s">
        <v>371</v>
      </c>
    </row>
    <row r="107" customFormat="false" ht="45.75" hidden="false" customHeight="true" outlineLevel="0" collapsed="false">
      <c r="A107" s="21" t="s">
        <v>164</v>
      </c>
      <c r="B107" s="11" t="s">
        <v>372</v>
      </c>
      <c r="C107" s="11" t="s">
        <v>373</v>
      </c>
      <c r="D107" s="22" t="s">
        <v>42</v>
      </c>
      <c r="E107" s="22" t="s">
        <v>41</v>
      </c>
      <c r="F107" s="22" t="s">
        <v>150</v>
      </c>
      <c r="G107" s="11" t="s">
        <v>374</v>
      </c>
    </row>
    <row r="108" customFormat="false" ht="45.75" hidden="false" customHeight="true" outlineLevel="0" collapsed="false">
      <c r="A108" s="26" t="s">
        <v>97</v>
      </c>
      <c r="B108" s="11" t="s">
        <v>375</v>
      </c>
      <c r="C108" s="11" t="s">
        <v>376</v>
      </c>
      <c r="D108" s="20" t="s">
        <v>42</v>
      </c>
      <c r="E108" s="20" t="s">
        <v>41</v>
      </c>
      <c r="F108" s="20" t="s">
        <v>13</v>
      </c>
      <c r="G108" s="11" t="s">
        <v>377</v>
      </c>
    </row>
    <row r="109" customFormat="false" ht="45.75" hidden="false" customHeight="true" outlineLevel="0" collapsed="false">
      <c r="A109" s="19" t="s">
        <v>97</v>
      </c>
      <c r="B109" s="11" t="s">
        <v>378</v>
      </c>
      <c r="C109" s="11" t="s">
        <v>379</v>
      </c>
      <c r="D109" s="20" t="s">
        <v>42</v>
      </c>
      <c r="E109" s="20" t="s">
        <v>41</v>
      </c>
      <c r="F109" s="20" t="s">
        <v>13</v>
      </c>
      <c r="G109" s="11" t="s">
        <v>380</v>
      </c>
    </row>
    <row r="110" customFormat="false" ht="45.75" hidden="false" customHeight="true" outlineLevel="0" collapsed="false">
      <c r="A110" s="19" t="s">
        <v>97</v>
      </c>
      <c r="B110" s="11" t="s">
        <v>381</v>
      </c>
      <c r="C110" s="11" t="s">
        <v>382</v>
      </c>
      <c r="D110" s="20" t="s">
        <v>42</v>
      </c>
      <c r="E110" s="20" t="s">
        <v>41</v>
      </c>
      <c r="F110" s="20" t="s">
        <v>13</v>
      </c>
      <c r="G110" s="11" t="s">
        <v>383</v>
      </c>
    </row>
    <row r="111" customFormat="false" ht="45.75" hidden="false" customHeight="true" outlineLevel="0" collapsed="false">
      <c r="A111" s="19" t="s">
        <v>97</v>
      </c>
      <c r="B111" s="11" t="s">
        <v>384</v>
      </c>
      <c r="C111" s="11" t="s">
        <v>385</v>
      </c>
      <c r="D111" s="20" t="s">
        <v>42</v>
      </c>
      <c r="E111" s="20" t="s">
        <v>41</v>
      </c>
      <c r="F111" s="20" t="s">
        <v>13</v>
      </c>
      <c r="G111" s="11" t="s">
        <v>386</v>
      </c>
    </row>
    <row r="112" customFormat="false" ht="45.75" hidden="false" customHeight="true" outlineLevel="0" collapsed="false">
      <c r="A112" s="19" t="s">
        <v>97</v>
      </c>
      <c r="B112" s="11" t="s">
        <v>387</v>
      </c>
      <c r="C112" s="11" t="s">
        <v>388</v>
      </c>
      <c r="D112" s="20" t="s">
        <v>42</v>
      </c>
      <c r="E112" s="20" t="s">
        <v>41</v>
      </c>
      <c r="F112" s="20" t="s">
        <v>13</v>
      </c>
      <c r="G112" s="11" t="s">
        <v>389</v>
      </c>
    </row>
    <row r="113" customFormat="false" ht="45.75" hidden="false" customHeight="true" outlineLevel="0" collapsed="false">
      <c r="A113" s="19" t="s">
        <v>97</v>
      </c>
      <c r="B113" s="11" t="s">
        <v>390</v>
      </c>
      <c r="C113" s="11" t="s">
        <v>391</v>
      </c>
      <c r="D113" s="20" t="s">
        <v>42</v>
      </c>
      <c r="E113" s="20" t="s">
        <v>41</v>
      </c>
      <c r="F113" s="20" t="s">
        <v>13</v>
      </c>
      <c r="G113" s="11" t="s">
        <v>392</v>
      </c>
    </row>
    <row r="114" customFormat="false" ht="45.75" hidden="false" customHeight="true" outlineLevel="0" collapsed="false">
      <c r="A114" s="19" t="s">
        <v>97</v>
      </c>
      <c r="B114" s="11" t="s">
        <v>393</v>
      </c>
      <c r="C114" s="11" t="s">
        <v>394</v>
      </c>
      <c r="D114" s="20" t="s">
        <v>42</v>
      </c>
      <c r="E114" s="20" t="s">
        <v>41</v>
      </c>
      <c r="F114" s="20" t="s">
        <v>13</v>
      </c>
      <c r="G114" s="11" t="s">
        <v>395</v>
      </c>
    </row>
    <row r="115" customFormat="false" ht="45.75" hidden="false" customHeight="true" outlineLevel="0" collapsed="false">
      <c r="A115" s="21" t="s">
        <v>97</v>
      </c>
      <c r="B115" s="11" t="s">
        <v>396</v>
      </c>
      <c r="C115" s="11" t="s">
        <v>397</v>
      </c>
      <c r="D115" s="22" t="s">
        <v>398</v>
      </c>
      <c r="E115" s="22" t="s">
        <v>41</v>
      </c>
      <c r="F115" s="22" t="s">
        <v>150</v>
      </c>
      <c r="G115" s="11" t="s">
        <v>399</v>
      </c>
    </row>
    <row r="116" customFormat="false" ht="45.75" hidden="false" customHeight="true" outlineLevel="0" collapsed="false">
      <c r="A116" s="26" t="s">
        <v>284</v>
      </c>
      <c r="B116" s="11" t="s">
        <v>400</v>
      </c>
      <c r="C116" s="11" t="s">
        <v>401</v>
      </c>
      <c r="D116" s="20" t="s">
        <v>42</v>
      </c>
      <c r="E116" s="20" t="s">
        <v>41</v>
      </c>
      <c r="F116" s="20" t="s">
        <v>13</v>
      </c>
      <c r="G116" s="11" t="s">
        <v>402</v>
      </c>
    </row>
    <row r="117" customFormat="false" ht="45.75" hidden="false" customHeight="true" outlineLevel="0" collapsed="false">
      <c r="A117" s="21" t="s">
        <v>284</v>
      </c>
      <c r="B117" s="11" t="s">
        <v>403</v>
      </c>
      <c r="C117" s="11" t="s">
        <v>404</v>
      </c>
      <c r="D117" s="22" t="s">
        <v>42</v>
      </c>
      <c r="E117" s="22" t="s">
        <v>41</v>
      </c>
      <c r="F117" s="22" t="s">
        <v>150</v>
      </c>
      <c r="G117" s="11" t="s">
        <v>405</v>
      </c>
    </row>
    <row r="118" customFormat="false" ht="45.75" hidden="false" customHeight="true" outlineLevel="0" collapsed="false">
      <c r="A118" s="23" t="s">
        <v>258</v>
      </c>
      <c r="B118" s="11" t="s">
        <v>406</v>
      </c>
      <c r="C118" s="11" t="s">
        <v>407</v>
      </c>
      <c r="D118" s="17" t="s">
        <v>41</v>
      </c>
      <c r="E118" s="17" t="s">
        <v>41</v>
      </c>
      <c r="F118" s="17" t="s">
        <v>80</v>
      </c>
      <c r="G118" s="11" t="s">
        <v>408</v>
      </c>
    </row>
    <row r="119" customFormat="false" ht="45.75" hidden="false" customHeight="true" outlineLevel="0" collapsed="false">
      <c r="A119" s="11" t="s">
        <v>258</v>
      </c>
      <c r="B119" s="11" t="s">
        <v>409</v>
      </c>
      <c r="C119" s="11" t="s">
        <v>410</v>
      </c>
      <c r="D119" s="24" t="s">
        <v>273</v>
      </c>
      <c r="E119" s="24" t="s">
        <v>41</v>
      </c>
      <c r="F119" s="24" t="s">
        <v>411</v>
      </c>
      <c r="G119" s="11" t="s">
        <v>412</v>
      </c>
    </row>
    <row r="120" customFormat="false" ht="45.75" hidden="false" customHeight="true" outlineLevel="0" collapsed="false">
      <c r="A120" s="16" t="s">
        <v>258</v>
      </c>
      <c r="B120" s="11" t="s">
        <v>413</v>
      </c>
      <c r="C120" s="11" t="s">
        <v>414</v>
      </c>
      <c r="D120" s="17" t="s">
        <v>415</v>
      </c>
      <c r="E120" s="17" t="s">
        <v>416</v>
      </c>
      <c r="F120" s="17" t="s">
        <v>80</v>
      </c>
      <c r="G120" s="11" t="s">
        <v>417</v>
      </c>
    </row>
    <row r="121" customFormat="false" ht="45.75" hidden="false" customHeight="true" outlineLevel="0" collapsed="false">
      <c r="A121" s="23" t="s">
        <v>228</v>
      </c>
      <c r="B121" s="11" t="s">
        <v>418</v>
      </c>
      <c r="C121" s="11" t="s">
        <v>419</v>
      </c>
      <c r="D121" s="17" t="s">
        <v>41</v>
      </c>
      <c r="E121" s="17" t="s">
        <v>41</v>
      </c>
      <c r="F121" s="17" t="s">
        <v>80</v>
      </c>
      <c r="G121" s="11" t="s">
        <v>420</v>
      </c>
    </row>
    <row r="122" customFormat="false" ht="45.75" hidden="false" customHeight="true" outlineLevel="0" collapsed="false">
      <c r="A122" s="27" t="s">
        <v>325</v>
      </c>
      <c r="B122" s="11" t="s">
        <v>421</v>
      </c>
      <c r="C122" s="11" t="s">
        <v>422</v>
      </c>
      <c r="D122" s="22" t="s">
        <v>423</v>
      </c>
      <c r="E122" s="22" t="s">
        <v>41</v>
      </c>
      <c r="F122" s="22" t="s">
        <v>150</v>
      </c>
      <c r="G122" s="11" t="s">
        <v>424</v>
      </c>
    </row>
    <row r="123" customFormat="false" ht="45.75" hidden="false" customHeight="true" outlineLevel="0" collapsed="false">
      <c r="A123" s="23" t="s">
        <v>425</v>
      </c>
      <c r="B123" s="11" t="s">
        <v>426</v>
      </c>
      <c r="C123" s="11" t="s">
        <v>427</v>
      </c>
      <c r="D123" s="17" t="s">
        <v>41</v>
      </c>
      <c r="E123" s="17" t="s">
        <v>41</v>
      </c>
      <c r="F123" s="17" t="s">
        <v>80</v>
      </c>
      <c r="G123" s="11" t="s">
        <v>428</v>
      </c>
    </row>
    <row r="124" customFormat="false" ht="45.75" hidden="false" customHeight="true" outlineLevel="0" collapsed="false">
      <c r="A124" s="16" t="s">
        <v>425</v>
      </c>
      <c r="B124" s="11" t="s">
        <v>429</v>
      </c>
      <c r="C124" s="11" t="s">
        <v>430</v>
      </c>
      <c r="D124" s="17" t="s">
        <v>41</v>
      </c>
      <c r="E124" s="17" t="s">
        <v>41</v>
      </c>
      <c r="F124" s="17" t="s">
        <v>80</v>
      </c>
      <c r="G124" s="11" t="s">
        <v>431</v>
      </c>
    </row>
    <row r="125" customFormat="false" ht="45.75" hidden="false" customHeight="true" outlineLevel="0" collapsed="false">
      <c r="A125" s="10" t="s">
        <v>300</v>
      </c>
      <c r="B125" s="11" t="s">
        <v>432</v>
      </c>
      <c r="C125" s="11" t="s">
        <v>433</v>
      </c>
      <c r="D125" s="12" t="s">
        <v>41</v>
      </c>
      <c r="E125" s="12" t="s">
        <v>42</v>
      </c>
      <c r="F125" s="12" t="s">
        <v>12</v>
      </c>
      <c r="G125" s="11" t="s">
        <v>434</v>
      </c>
    </row>
    <row r="126" customFormat="false" ht="45.75" hidden="false" customHeight="true" outlineLevel="0" collapsed="false">
      <c r="A126" s="25" t="s">
        <v>258</v>
      </c>
      <c r="B126" s="11" t="s">
        <v>435</v>
      </c>
      <c r="C126" s="11" t="s">
        <v>436</v>
      </c>
      <c r="D126" s="24" t="s">
        <v>41</v>
      </c>
      <c r="E126" s="24" t="s">
        <v>273</v>
      </c>
      <c r="F126" s="24" t="s">
        <v>316</v>
      </c>
      <c r="G126" s="11" t="s">
        <v>437</v>
      </c>
    </row>
    <row r="127" customFormat="false" ht="45.75" hidden="false" customHeight="true" outlineLevel="0" collapsed="false">
      <c r="A127" s="16" t="s">
        <v>258</v>
      </c>
      <c r="B127" s="11" t="s">
        <v>438</v>
      </c>
      <c r="C127" s="11" t="s">
        <v>439</v>
      </c>
      <c r="D127" s="17" t="s">
        <v>41</v>
      </c>
      <c r="E127" s="17" t="s">
        <v>41</v>
      </c>
      <c r="F127" s="17" t="s">
        <v>80</v>
      </c>
      <c r="G127" s="11" t="s">
        <v>440</v>
      </c>
    </row>
    <row r="128" customFormat="false" ht="45.75" hidden="false" customHeight="true" outlineLevel="0" collapsed="false">
      <c r="A128" s="25" t="s">
        <v>164</v>
      </c>
      <c r="B128" s="11" t="s">
        <v>441</v>
      </c>
      <c r="C128" s="11" t="s">
        <v>442</v>
      </c>
      <c r="D128" s="24" t="s">
        <v>273</v>
      </c>
      <c r="E128" s="24" t="s">
        <v>443</v>
      </c>
      <c r="F128" s="24" t="s">
        <v>411</v>
      </c>
      <c r="G128" s="11" t="s">
        <v>444</v>
      </c>
    </row>
    <row r="129" customFormat="false" ht="45.75" hidden="false" customHeight="true" outlineLevel="0" collapsed="false">
      <c r="A129" s="26" t="s">
        <v>97</v>
      </c>
      <c r="B129" s="11" t="s">
        <v>445</v>
      </c>
      <c r="C129" s="11" t="s">
        <v>446</v>
      </c>
      <c r="D129" s="20" t="s">
        <v>42</v>
      </c>
      <c r="E129" s="20" t="s">
        <v>41</v>
      </c>
      <c r="F129" s="20" t="s">
        <v>13</v>
      </c>
      <c r="G129" s="11" t="s">
        <v>447</v>
      </c>
    </row>
    <row r="130" customFormat="false" ht="45.75" hidden="false" customHeight="true" outlineLevel="0" collapsed="false">
      <c r="A130" s="27" t="s">
        <v>325</v>
      </c>
      <c r="B130" s="11" t="s">
        <v>448</v>
      </c>
      <c r="C130" s="11" t="s">
        <v>449</v>
      </c>
      <c r="D130" s="22" t="s">
        <v>42</v>
      </c>
      <c r="E130" s="22" t="s">
        <v>41</v>
      </c>
      <c r="F130" s="22" t="s">
        <v>150</v>
      </c>
      <c r="G130" s="11" t="s">
        <v>450</v>
      </c>
    </row>
    <row r="131" customFormat="false" ht="45.75" hidden="false" customHeight="true" outlineLevel="0" collapsed="false">
      <c r="A131" s="27" t="s">
        <v>123</v>
      </c>
      <c r="B131" s="11" t="s">
        <v>451</v>
      </c>
      <c r="C131" s="11" t="s">
        <v>452</v>
      </c>
      <c r="D131" s="22" t="s">
        <v>453</v>
      </c>
      <c r="E131" s="22" t="s">
        <v>41</v>
      </c>
      <c r="F131" s="22" t="s">
        <v>150</v>
      </c>
      <c r="G131" s="11" t="s">
        <v>454</v>
      </c>
    </row>
    <row r="132" customFormat="false" ht="45.75" hidden="false" customHeight="true" outlineLevel="0" collapsed="false">
      <c r="A132" s="25" t="s">
        <v>206</v>
      </c>
      <c r="B132" s="11" t="s">
        <v>455</v>
      </c>
      <c r="C132" s="11" t="s">
        <v>456</v>
      </c>
      <c r="D132" s="24" t="s">
        <v>41</v>
      </c>
      <c r="E132" s="24" t="s">
        <v>273</v>
      </c>
      <c r="F132" s="24" t="s">
        <v>274</v>
      </c>
      <c r="G132" s="11" t="s">
        <v>457</v>
      </c>
    </row>
    <row r="133" customFormat="false" ht="45.75" hidden="false" customHeight="true" outlineLevel="0" collapsed="false">
      <c r="A133" s="25" t="s">
        <v>228</v>
      </c>
      <c r="B133" s="11" t="s">
        <v>458</v>
      </c>
      <c r="C133" s="11" t="s">
        <v>459</v>
      </c>
      <c r="D133" s="24" t="s">
        <v>273</v>
      </c>
      <c r="E133" s="24" t="s">
        <v>41</v>
      </c>
      <c r="F133" s="24" t="s">
        <v>411</v>
      </c>
      <c r="G133" s="11" t="s">
        <v>460</v>
      </c>
    </row>
    <row r="134" customFormat="false" ht="45.75" hidden="false" customHeight="true" outlineLevel="0" collapsed="false">
      <c r="A134" s="23" t="s">
        <v>38</v>
      </c>
      <c r="B134" s="11" t="s">
        <v>461</v>
      </c>
      <c r="C134" s="11" t="s">
        <v>462</v>
      </c>
      <c r="D134" s="17" t="s">
        <v>41</v>
      </c>
      <c r="E134" s="17" t="s">
        <v>41</v>
      </c>
      <c r="F134" s="17" t="s">
        <v>80</v>
      </c>
      <c r="G134" s="11" t="s">
        <v>463</v>
      </c>
    </row>
    <row r="135" customFormat="false" ht="45.75" hidden="false" customHeight="true" outlineLevel="0" collapsed="false">
      <c r="A135" s="25" t="s">
        <v>97</v>
      </c>
      <c r="B135" s="11" t="s">
        <v>464</v>
      </c>
      <c r="C135" s="11" t="s">
        <v>465</v>
      </c>
      <c r="D135" s="24" t="s">
        <v>466</v>
      </c>
      <c r="E135" s="24" t="s">
        <v>42</v>
      </c>
      <c r="F135" s="24" t="s">
        <v>467</v>
      </c>
      <c r="G135" s="11" t="s">
        <v>468</v>
      </c>
    </row>
    <row r="136" customFormat="false" ht="45.75" hidden="false" customHeight="true" outlineLevel="0" collapsed="false">
      <c r="A136" s="25" t="s">
        <v>123</v>
      </c>
      <c r="B136" s="11" t="s">
        <v>469</v>
      </c>
      <c r="C136" s="11" t="s">
        <v>470</v>
      </c>
      <c r="D136" s="24" t="s">
        <v>471</v>
      </c>
      <c r="E136" s="24" t="s">
        <v>273</v>
      </c>
      <c r="F136" s="24" t="s">
        <v>472</v>
      </c>
      <c r="G136" s="11" t="s">
        <v>473</v>
      </c>
    </row>
  </sheetData>
  <autoFilter ref="A2:G136"/>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2"/>
    <col collapsed="false" customWidth="true" hidden="false" outlineLevel="0" max="3" min="3" style="0" width="40"/>
    <col collapsed="false" customWidth="true" hidden="false" outlineLevel="0" max="4" min="4" style="0" width="12"/>
    <col collapsed="false" customWidth="true" hidden="false" outlineLevel="0" max="6" min="5" style="0" width="40"/>
  </cols>
  <sheetData>
    <row r="1" customFormat="false" ht="15" hidden="false" customHeight="false" outlineLevel="0" collapsed="false">
      <c r="A1" s="8" t="s">
        <v>474</v>
      </c>
      <c r="B1" s="8"/>
      <c r="C1" s="8"/>
      <c r="D1" s="8"/>
      <c r="E1" s="8"/>
      <c r="F1" s="8"/>
    </row>
    <row r="2" customFormat="false" ht="26.85" hidden="false" customHeight="false" outlineLevel="0" collapsed="false">
      <c r="A2" s="9" t="s">
        <v>475</v>
      </c>
      <c r="B2" s="9" t="s">
        <v>34</v>
      </c>
      <c r="C2" s="9" t="s">
        <v>476</v>
      </c>
      <c r="D2" s="9" t="s">
        <v>35</v>
      </c>
      <c r="E2" s="9" t="s">
        <v>477</v>
      </c>
      <c r="F2" s="9" t="s">
        <v>478</v>
      </c>
    </row>
    <row r="3" customFormat="false" ht="57.75" hidden="false" customHeight="true" outlineLevel="0" collapsed="false">
      <c r="A3" s="25" t="s">
        <v>479</v>
      </c>
      <c r="B3" s="12" t="s">
        <v>480</v>
      </c>
      <c r="C3" s="11" t="s">
        <v>481</v>
      </c>
      <c r="D3" s="20" t="s">
        <v>480</v>
      </c>
      <c r="E3" s="11" t="s">
        <v>482</v>
      </c>
      <c r="F3" s="11" t="s">
        <v>483</v>
      </c>
    </row>
    <row r="4" customFormat="false" ht="57.75" hidden="false" customHeight="true" outlineLevel="0" collapsed="false">
      <c r="A4" s="25" t="s">
        <v>484</v>
      </c>
      <c r="B4" s="12" t="s">
        <v>480</v>
      </c>
      <c r="C4" s="11" t="s">
        <v>485</v>
      </c>
      <c r="D4" s="24" t="s">
        <v>486</v>
      </c>
      <c r="E4" s="11" t="s">
        <v>487</v>
      </c>
      <c r="F4" s="11" t="s">
        <v>488</v>
      </c>
    </row>
    <row r="5" customFormat="false" ht="57.75" hidden="false" customHeight="true" outlineLevel="0" collapsed="false">
      <c r="A5" s="25" t="s">
        <v>489</v>
      </c>
      <c r="B5" s="12" t="s">
        <v>480</v>
      </c>
      <c r="C5" s="11" t="s">
        <v>490</v>
      </c>
      <c r="D5" s="24" t="s">
        <v>273</v>
      </c>
      <c r="E5" s="11" t="s">
        <v>491</v>
      </c>
      <c r="F5" s="11" t="s">
        <v>492</v>
      </c>
    </row>
    <row r="6" customFormat="false" ht="57.75" hidden="false" customHeight="true" outlineLevel="0" collapsed="false">
      <c r="A6" s="25" t="s">
        <v>493</v>
      </c>
      <c r="B6" s="12" t="s">
        <v>480</v>
      </c>
      <c r="C6" s="11" t="s">
        <v>494</v>
      </c>
      <c r="D6" s="20" t="s">
        <v>480</v>
      </c>
      <c r="E6" s="11" t="s">
        <v>495</v>
      </c>
      <c r="F6" s="11" t="s">
        <v>496</v>
      </c>
    </row>
    <row r="7" customFormat="false" ht="57.75" hidden="false" customHeight="true" outlineLevel="0" collapsed="false">
      <c r="A7" s="25" t="s">
        <v>497</v>
      </c>
      <c r="B7" s="12" t="s">
        <v>480</v>
      </c>
      <c r="C7" s="11" t="s">
        <v>498</v>
      </c>
      <c r="D7" s="20" t="s">
        <v>499</v>
      </c>
      <c r="E7" s="11" t="s">
        <v>500</v>
      </c>
      <c r="F7" s="11" t="s">
        <v>501</v>
      </c>
    </row>
    <row r="8" customFormat="false" ht="57.75" hidden="false" customHeight="true" outlineLevel="0" collapsed="false">
      <c r="A8" s="25" t="s">
        <v>502</v>
      </c>
      <c r="B8" s="12" t="s">
        <v>480</v>
      </c>
      <c r="C8" s="11" t="s">
        <v>503</v>
      </c>
      <c r="D8" s="24" t="s">
        <v>42</v>
      </c>
      <c r="E8" s="11" t="s">
        <v>504</v>
      </c>
      <c r="F8" s="11" t="s">
        <v>505</v>
      </c>
    </row>
    <row r="9" customFormat="false" ht="57.75" hidden="false" customHeight="true" outlineLevel="0" collapsed="false">
      <c r="A9" s="25" t="s">
        <v>506</v>
      </c>
      <c r="B9" s="12" t="s">
        <v>480</v>
      </c>
      <c r="C9" s="11" t="s">
        <v>507</v>
      </c>
      <c r="D9" s="20" t="s">
        <v>480</v>
      </c>
      <c r="E9" s="11" t="s">
        <v>508</v>
      </c>
      <c r="F9" s="11" t="s">
        <v>509</v>
      </c>
    </row>
    <row r="10" customFormat="false" ht="57.75" hidden="false" customHeight="true" outlineLevel="0" collapsed="false">
      <c r="A10" s="25" t="s">
        <v>510</v>
      </c>
      <c r="B10" s="12" t="s">
        <v>480</v>
      </c>
      <c r="C10" s="11" t="s">
        <v>511</v>
      </c>
      <c r="D10" s="20" t="s">
        <v>480</v>
      </c>
      <c r="E10" s="11" t="s">
        <v>512</v>
      </c>
      <c r="F10" s="11" t="s">
        <v>513</v>
      </c>
    </row>
    <row r="11" customFormat="false" ht="57.75" hidden="false" customHeight="true" outlineLevel="0" collapsed="false">
      <c r="A11" s="25" t="s">
        <v>514</v>
      </c>
      <c r="B11" s="12" t="s">
        <v>480</v>
      </c>
      <c r="C11" s="11" t="s">
        <v>515</v>
      </c>
      <c r="D11" s="20" t="s">
        <v>480</v>
      </c>
      <c r="E11" s="11" t="s">
        <v>516</v>
      </c>
      <c r="F11" s="11" t="s">
        <v>517</v>
      </c>
    </row>
    <row r="12" customFormat="false" ht="57.75" hidden="false" customHeight="true" outlineLevel="0" collapsed="false">
      <c r="A12" s="25" t="s">
        <v>518</v>
      </c>
      <c r="B12" s="12" t="s">
        <v>480</v>
      </c>
      <c r="C12" s="11" t="s">
        <v>519</v>
      </c>
      <c r="D12" s="24" t="s">
        <v>42</v>
      </c>
      <c r="E12" s="11" t="s">
        <v>504</v>
      </c>
      <c r="F12" s="11" t="s">
        <v>520</v>
      </c>
    </row>
    <row r="13" customFormat="false" ht="57.75" hidden="false" customHeight="true" outlineLevel="0" collapsed="false">
      <c r="A13" s="25" t="s">
        <v>521</v>
      </c>
      <c r="B13" s="28" t="s">
        <v>522</v>
      </c>
      <c r="C13" s="11" t="s">
        <v>523</v>
      </c>
      <c r="D13" s="24" t="s">
        <v>42</v>
      </c>
      <c r="E13" s="11" t="s">
        <v>524</v>
      </c>
      <c r="F13" s="11" t="s">
        <v>525</v>
      </c>
    </row>
    <row r="14" customFormat="false" ht="57.75" hidden="false" customHeight="true" outlineLevel="0" collapsed="false">
      <c r="A14" s="25" t="s">
        <v>526</v>
      </c>
      <c r="B14" s="24" t="s">
        <v>42</v>
      </c>
      <c r="C14" s="11" t="s">
        <v>504</v>
      </c>
      <c r="D14" s="20" t="s">
        <v>480</v>
      </c>
      <c r="E14" s="11" t="s">
        <v>527</v>
      </c>
      <c r="F14" s="11" t="s">
        <v>528</v>
      </c>
    </row>
    <row r="15" customFormat="false" ht="57.75" hidden="false" customHeight="true" outlineLevel="0" collapsed="false">
      <c r="A15" s="25" t="s">
        <v>529</v>
      </c>
      <c r="B15" s="12" t="s">
        <v>480</v>
      </c>
      <c r="C15" s="11" t="s">
        <v>530</v>
      </c>
      <c r="D15" s="20" t="s">
        <v>499</v>
      </c>
      <c r="E15" s="11" t="s">
        <v>531</v>
      </c>
      <c r="F15" s="11" t="s">
        <v>532</v>
      </c>
    </row>
    <row r="16" customFormat="false" ht="57.75" hidden="false" customHeight="true" outlineLevel="0" collapsed="false">
      <c r="A16" s="25" t="s">
        <v>533</v>
      </c>
      <c r="B16" s="12" t="s">
        <v>480</v>
      </c>
      <c r="C16" s="11" t="s">
        <v>534</v>
      </c>
      <c r="D16" s="20" t="s">
        <v>499</v>
      </c>
      <c r="E16" s="11" t="s">
        <v>535</v>
      </c>
      <c r="F16" s="11" t="s">
        <v>536</v>
      </c>
    </row>
    <row r="17" customFormat="false" ht="57.75" hidden="false" customHeight="true" outlineLevel="0" collapsed="false">
      <c r="A17" s="25" t="s">
        <v>537</v>
      </c>
      <c r="B17" s="24" t="s">
        <v>538</v>
      </c>
      <c r="C17" s="11"/>
      <c r="D17" s="24" t="s">
        <v>539</v>
      </c>
      <c r="E17" s="11"/>
      <c r="F17" s="11" t="s">
        <v>540</v>
      </c>
    </row>
  </sheetData>
  <autoFilter ref="A2:F17"/>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12"/>
    <col collapsed="false" customWidth="true" hidden="false" outlineLevel="0" max="3" min="3" style="0" width="55"/>
    <col collapsed="false" customWidth="true" hidden="false" outlineLevel="0" max="4" min="4" style="0" width="50"/>
  </cols>
  <sheetData>
    <row r="1" customFormat="false" ht="15" hidden="false" customHeight="false" outlineLevel="0" collapsed="false">
      <c r="A1" s="8" t="s">
        <v>541</v>
      </c>
      <c r="B1" s="8"/>
      <c r="C1" s="8"/>
      <c r="D1" s="8"/>
    </row>
    <row r="2" customFormat="false" ht="15" hidden="false" customHeight="false" outlineLevel="0" collapsed="false">
      <c r="A2" s="9" t="s">
        <v>542</v>
      </c>
      <c r="B2" s="9" t="s">
        <v>543</v>
      </c>
      <c r="C2" s="9" t="s">
        <v>544</v>
      </c>
      <c r="D2" s="9" t="s">
        <v>545</v>
      </c>
    </row>
    <row r="3" customFormat="false" ht="60" hidden="false" customHeight="true" outlineLevel="0" collapsed="false">
      <c r="A3" s="29" t="s">
        <v>34</v>
      </c>
      <c r="B3" s="30" t="s">
        <v>546</v>
      </c>
      <c r="C3" s="11" t="s">
        <v>547</v>
      </c>
      <c r="D3" s="11" t="s">
        <v>548</v>
      </c>
    </row>
    <row r="4" customFormat="false" ht="60" hidden="false" customHeight="true" outlineLevel="0" collapsed="false">
      <c r="A4" s="29" t="s">
        <v>34</v>
      </c>
      <c r="B4" s="30" t="s">
        <v>546</v>
      </c>
      <c r="C4" s="11" t="s">
        <v>549</v>
      </c>
      <c r="D4" s="11" t="s">
        <v>550</v>
      </c>
    </row>
    <row r="5" customFormat="false" ht="60" hidden="false" customHeight="true" outlineLevel="0" collapsed="false">
      <c r="A5" s="29" t="s">
        <v>34</v>
      </c>
      <c r="B5" s="30" t="s">
        <v>546</v>
      </c>
      <c r="C5" s="11" t="s">
        <v>551</v>
      </c>
      <c r="D5" s="11" t="s">
        <v>552</v>
      </c>
    </row>
    <row r="6" customFormat="false" ht="60" hidden="false" customHeight="true" outlineLevel="0" collapsed="false">
      <c r="A6" s="29" t="s">
        <v>34</v>
      </c>
      <c r="B6" s="30" t="s">
        <v>546</v>
      </c>
      <c r="C6" s="11" t="s">
        <v>553</v>
      </c>
      <c r="D6" s="11" t="s">
        <v>554</v>
      </c>
    </row>
    <row r="7" customFormat="false" ht="60" hidden="false" customHeight="true" outlineLevel="0" collapsed="false">
      <c r="A7" s="29" t="s">
        <v>34</v>
      </c>
      <c r="B7" s="31" t="s">
        <v>555</v>
      </c>
      <c r="C7" s="11" t="s">
        <v>556</v>
      </c>
      <c r="D7" s="11" t="s">
        <v>557</v>
      </c>
    </row>
    <row r="8" customFormat="false" ht="60" hidden="false" customHeight="true" outlineLevel="0" collapsed="false">
      <c r="A8" s="29" t="s">
        <v>34</v>
      </c>
      <c r="B8" s="31" t="s">
        <v>555</v>
      </c>
      <c r="C8" s="11" t="s">
        <v>558</v>
      </c>
      <c r="D8" s="11" t="s">
        <v>559</v>
      </c>
    </row>
    <row r="9" customFormat="false" ht="60" hidden="false" customHeight="true" outlineLevel="0" collapsed="false">
      <c r="A9" s="29" t="s">
        <v>34</v>
      </c>
      <c r="B9" s="31" t="s">
        <v>555</v>
      </c>
      <c r="C9" s="11" t="s">
        <v>560</v>
      </c>
      <c r="D9" s="11" t="s">
        <v>561</v>
      </c>
    </row>
    <row r="10" customFormat="false" ht="60" hidden="false" customHeight="true" outlineLevel="0" collapsed="false">
      <c r="A10" s="29" t="s">
        <v>34</v>
      </c>
      <c r="B10" s="32" t="s">
        <v>562</v>
      </c>
      <c r="C10" s="11" t="s">
        <v>563</v>
      </c>
      <c r="D10" s="11" t="s">
        <v>564</v>
      </c>
    </row>
    <row r="11" customFormat="false" ht="60" hidden="false" customHeight="true" outlineLevel="0" collapsed="false">
      <c r="A11" s="29" t="s">
        <v>34</v>
      </c>
      <c r="B11" s="30" t="s">
        <v>546</v>
      </c>
      <c r="C11" s="11" t="s">
        <v>565</v>
      </c>
      <c r="D11" s="11" t="s">
        <v>566</v>
      </c>
    </row>
    <row r="12" customFormat="false" ht="60" hidden="false" customHeight="true" outlineLevel="0" collapsed="false">
      <c r="A12" s="29" t="s">
        <v>34</v>
      </c>
      <c r="B12" s="31" t="s">
        <v>555</v>
      </c>
      <c r="C12" s="11" t="s">
        <v>567</v>
      </c>
      <c r="D12" s="11" t="s">
        <v>568</v>
      </c>
    </row>
    <row r="13" customFormat="false" ht="60" hidden="false" customHeight="true" outlineLevel="0" collapsed="false">
      <c r="A13" s="29" t="s">
        <v>35</v>
      </c>
      <c r="B13" s="31" t="s">
        <v>555</v>
      </c>
      <c r="C13" s="11" t="s">
        <v>569</v>
      </c>
      <c r="D13" s="11" t="s">
        <v>570</v>
      </c>
    </row>
    <row r="14" customFormat="false" ht="60" hidden="false" customHeight="true" outlineLevel="0" collapsed="false">
      <c r="A14" s="29" t="s">
        <v>35</v>
      </c>
      <c r="B14" s="31" t="s">
        <v>555</v>
      </c>
      <c r="C14" s="11" t="s">
        <v>571</v>
      </c>
      <c r="D14" s="11" t="s">
        <v>572</v>
      </c>
    </row>
    <row r="15" customFormat="false" ht="60" hidden="false" customHeight="true" outlineLevel="0" collapsed="false">
      <c r="A15" s="29" t="s">
        <v>35</v>
      </c>
      <c r="B15" s="32" t="s">
        <v>562</v>
      </c>
      <c r="C15" s="11" t="s">
        <v>573</v>
      </c>
      <c r="D15" s="11" t="s">
        <v>574</v>
      </c>
    </row>
    <row r="16" customFormat="false" ht="60" hidden="false" customHeight="true" outlineLevel="0" collapsed="false">
      <c r="A16" s="29" t="s">
        <v>35</v>
      </c>
      <c r="B16" s="32" t="s">
        <v>562</v>
      </c>
      <c r="C16" s="11" t="s">
        <v>575</v>
      </c>
      <c r="D16" s="11" t="s">
        <v>576</v>
      </c>
    </row>
    <row r="17" customFormat="false" ht="60" hidden="false" customHeight="true" outlineLevel="0" collapsed="false">
      <c r="A17" s="29" t="s">
        <v>35</v>
      </c>
      <c r="B17" s="31" t="s">
        <v>555</v>
      </c>
      <c r="C17" s="11" t="s">
        <v>577</v>
      </c>
      <c r="D17" s="11" t="s">
        <v>578</v>
      </c>
    </row>
    <row r="18" customFormat="false" ht="60" hidden="false" customHeight="true" outlineLevel="0" collapsed="false">
      <c r="A18" s="29" t="s">
        <v>35</v>
      </c>
      <c r="B18" s="32" t="s">
        <v>562</v>
      </c>
      <c r="C18" s="11" t="s">
        <v>579</v>
      </c>
      <c r="D18" s="11" t="s">
        <v>580</v>
      </c>
    </row>
    <row r="19" customFormat="false" ht="60" hidden="false" customHeight="true" outlineLevel="0" collapsed="false">
      <c r="A19" s="29" t="s">
        <v>35</v>
      </c>
      <c r="B19" s="30" t="s">
        <v>546</v>
      </c>
      <c r="C19" s="11" t="s">
        <v>581</v>
      </c>
      <c r="D19" s="11" t="s">
        <v>582</v>
      </c>
    </row>
    <row r="20" customFormat="false" ht="60" hidden="false" customHeight="true" outlineLevel="0" collapsed="false">
      <c r="A20" s="29" t="s">
        <v>35</v>
      </c>
      <c r="B20" s="31" t="s">
        <v>555</v>
      </c>
      <c r="C20" s="11" t="s">
        <v>583</v>
      </c>
      <c r="D20" s="11" t="s">
        <v>584</v>
      </c>
    </row>
    <row r="21" customFormat="false" ht="60" hidden="false" customHeight="true" outlineLevel="0" collapsed="false">
      <c r="A21" s="29" t="s">
        <v>35</v>
      </c>
      <c r="B21" s="32" t="s">
        <v>562</v>
      </c>
      <c r="C21" s="11" t="s">
        <v>585</v>
      </c>
      <c r="D21" s="11" t="s">
        <v>586</v>
      </c>
    </row>
    <row r="22" customFormat="false" ht="60" hidden="false" customHeight="true" outlineLevel="0" collapsed="false">
      <c r="A22" s="29" t="s">
        <v>587</v>
      </c>
      <c r="B22" s="30" t="s">
        <v>546</v>
      </c>
      <c r="C22" s="11" t="s">
        <v>588</v>
      </c>
      <c r="D22" s="11" t="s">
        <v>589</v>
      </c>
    </row>
    <row r="23" customFormat="false" ht="60" hidden="false" customHeight="true" outlineLevel="0" collapsed="false">
      <c r="A23" s="29" t="s">
        <v>587</v>
      </c>
      <c r="B23" s="31" t="s">
        <v>555</v>
      </c>
      <c r="C23" s="11" t="s">
        <v>590</v>
      </c>
      <c r="D23" s="11" t="s">
        <v>591</v>
      </c>
    </row>
  </sheetData>
  <autoFilter ref="A2:D23"/>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2026-07-23T16:05:07Z</dcterms:created>
  <dc:creator>openpyxl</dc:creator>
  <dc:description/>
  <dc:language>en-US</dc:language>
  <cp:lastModifiedBy/>
  <dcterms:modified xsi:type="dcterms:W3CDTF">2026-07-23T16:05:07Z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